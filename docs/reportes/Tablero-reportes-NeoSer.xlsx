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43b523e29f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3e685fba42ac40b7"/>
    <x:sheet xmlns:r="http://schemas.openxmlformats.org/officeDocument/2006/relationships" name="Pagos" sheetId="2" r:id="R490ae1e176094e5b"/>
    <x:sheet xmlns:r="http://schemas.openxmlformats.org/officeDocument/2006/relationships" name="Campañas" sheetId="3" r:id="R683f72dc84364200"/>
    <x:sheet xmlns:r="http://schemas.openxmlformats.org/officeDocument/2006/relationships" name="Tráfico" sheetId="4" r:id="R947af93541f74e75"/>
    <x:sheet xmlns:r="http://schemas.openxmlformats.org/officeDocument/2006/relationships" name="Control" sheetId="5" r:id="R7ac70cadf7634e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&quot;S/ &quot;#,##0.00"/>
    <x:numFmt numFmtId="201" formatCode="&quot;US$ &quot;#,##0.00"/>
    <x:numFmt numFmtId="202" formatCode="0.0%"/>
    <x:numFmt numFmtId="203" formatCode="yyyy-mm-dd hh:mm"/>
    <x:numFmt numFmtId="204" formatCode="yyyy-mm-dd"/>
    <x:numFmt numFmtId="205" formatCode="#,##0.00"/>
    <x:numFmt numFmtId="206" formatCode="#,##0"/>
  </x:numFmts>
  <x:fonts count="7">
    <x:font>
      <x:sz val="11"/>
      <x:name val="Carlito"/>
    </x:font>
    <x:font>
      <x:b/>
      <x:sz val="22"/>
      <x:color rgb="FFFFFFFF"/>
      <x:name val="Arial"/>
    </x:font>
    <x:font>
      <x:i/>
      <x:sz val="10"/>
      <x:color rgb="FF5E6875"/>
      <x:name val="Arial"/>
    </x:font>
    <x:font>
      <x:b/>
      <x:sz val="10"/>
      <x:color rgb="FF1B3A6B"/>
      <x:name val="Arial"/>
    </x:font>
    <x:font>
      <x:b/>
      <x:sz val="18"/>
      <x:color rgb="FF1B3A6B"/>
      <x:name val="Arial"/>
    </x:font>
    <x:font>
      <x:b/>
      <x:sz val="10"/>
      <x:color rgb="FFFFFFFF"/>
      <x:name val="Arial"/>
    </x:font>
    <x:font>
      <x:sz val="11"/>
      <x:color rgb="FF1B3A6B"/>
      <x:name val="Arial"/>
    </x:font>
  </x:fonts>
  <x:fills count="10">
    <x:fill>
      <x:patternFill patternType="none"/>
    </x:fill>
    <x:fill>
      <x:patternFill patternType="gray125"/>
    </x:fill>
    <x:fill>
      <x:patternFill patternType="solid">
        <x:fgColor rgb="FF1B3A6B"/>
      </x:patternFill>
    </x:fill>
    <x:fill>
      <x:patternFill patternType="solid">
        <x:fgColor rgb="FFFFF8F3"/>
      </x:patternFill>
    </x:fill>
    <x:fill>
      <x:patternFill patternType="solid">
        <x:fgColor rgb="FFFCE9ED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  <x:fill>
      <x:patternFill patternType="solid">
        <x:fgColor rgb="FFF8F0E2"/>
      </x:patternFill>
    </x:fill>
    <x:fill>
      <x:patternFill patternType="solid">
        <x:fgColor rgb="FFE7F3EF"/>
      </x:patternFill>
    </x:fill>
    <x:fill>
      <x:patternFill patternType="solid">
        <x:fgColor rgb="FFF2F4F7"/>
      </x:patternFill>
    </x:fill>
  </x:fills>
  <x:borders count="14">
    <x:border/>
    <x:border>
      <x:left style="thin">
        <x:color rgb="FFD8DEE8"/>
      </x:left>
      <x:top style="thin">
        <x:color rgb="FFD8DEE8"/>
      </x:top>
      <x:bottom style="thin">
        <x:color rgb="FFD8DEE8"/>
      </x:bottom>
    </x:border>
    <x:border>
      <x:right style="thin">
        <x:color rgb="FFD8DEE8"/>
      </x:right>
      <x:top style="thin">
        <x:color rgb="FFD8DEE8"/>
      </x:top>
      <x:bottom style="thin">
        <x:color rgb="FFD8DEE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4E8EE"/>
      </x:left>
      <x:right style="thin">
        <x:color rgb="FFE4E8EE"/>
      </x:right>
      <x:top style="thin">
        <x:color rgb="FFE4E8EE"/>
      </x:top>
      <x:bottom style="thin">
        <x:color rgb="FFE4E8EE"/>
      </x:bottom>
    </x:border>
    <x:border>
      <x:left style="thin">
        <x:color rgb="FFE8879B"/>
      </x:left>
      <x:top style="thin">
        <x:color rgb="FFE8879B"/>
      </x:top>
    </x:border>
    <x:border>
      <x:top style="thin">
        <x:color rgb="FFE8879B"/>
      </x:top>
    </x:border>
    <x:border>
      <x:right style="thin">
        <x:color rgb="FFE8879B"/>
      </x:right>
      <x:top style="thin">
        <x:color rgb="FFE8879B"/>
      </x:top>
    </x:border>
    <x:border>
      <x:left style="thin">
        <x:color rgb="FFE8879B"/>
      </x:left>
    </x:border>
    <x:border>
      <x:right style="thin">
        <x:color rgb="FFE8879B"/>
      </x:right>
    </x:border>
    <x:border>
      <x:left style="thin">
        <x:color rgb="FFE8879B"/>
      </x:left>
      <x:bottom style="thin">
        <x:color rgb="FFE8879B"/>
      </x:bottom>
    </x:border>
    <x:border>
      <x:bottom style="thin">
        <x:color rgb="FFE8879B"/>
      </x:bottom>
    </x:border>
    <x:border>
      <x:right style="thin">
        <x:color rgb="FFE8879B"/>
      </x:right>
      <x:bottom style="thin">
        <x:color rgb="FFE8879B"/>
      </x:bottom>
    </x:border>
    <x:border>
      <x:left style="thin">
        <x:color rgb="FFEDF0F4"/>
      </x:left>
      <x:right style="thin">
        <x:color rgb="FFEDF0F4"/>
      </x:right>
      <x:top style="thin">
        <x:color rgb="FFEDF0F4"/>
      </x:top>
      <x:bottom style="thin">
        <x:color rgb="FFEDF0F4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2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4" fillId="5" borderId="2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center" wrapText="1"/>
    </x:xf>
    <x:xf numFmtId="0" fontId="3" fillId="6" borderId="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1" xfId="0" applyNumberFormat="1" applyFont="1" applyFill="1" applyBorder="1"/>
    <x:xf numFmtId="0" fontId="3" fillId="7" borderId="2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3" fillId="7" borderId="2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vertical="center" wrapText="1"/>
    </x:xf>
    <x:xf numFmtId="0" fontId="3" fillId="7" borderId="2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vertical="center" wrapText="1"/>
    </x:xf>
    <x:xf numFmtId="0" fontId="3" fillId="8" borderId="2" xfId="0" applyNumberFormat="1" applyFont="1" applyFill="1" applyBorder="1" applyAlignment="1">
      <x:alignment vertical="center" wrapText="1"/>
    </x:xf>
    <x:xf numFmtId="200" fontId="4" fillId="5" borderId="2" xfId="0" applyNumberFormat="1" applyFont="1" applyFill="1" applyBorder="1" applyAlignment="1">
      <x:alignment vertical="center"/>
    </x:xf>
    <x:xf numFmtId="201" fontId="4" fillId="5" borderId="2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1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vertical="center" wrapText="1"/>
    </x:xf>
    <x:xf numFmtId="0" fontId="3" fillId="9" borderId="2" xfId="0" applyNumberFormat="1" applyFont="1" applyFill="1" applyBorder="1" applyAlignment="1">
      <x:alignment vertical="center" wrapText="1"/>
    </x:xf>
    <x:xf numFmtId="202" fontId="4" fillId="5" borderId="2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4" fillId="5" borderId="1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3" xfId="0" applyNumberFormat="1" applyFont="1" applyFill="1" applyBorder="1"/>
    <x:xf numFmtId="0" fontId="5" fillId="2" borderId="3" xfId="0" applyNumberFormat="1" applyFont="1" applyFill="1" applyBorder="1" applyAlignment="1">
      <x:alignment wrapText="1"/>
    </x:xf>
    <x:xf numFmtId="0" fontId="5" fillId="2" borderId="3" xfId="0" applyNumberFormat="1" applyFont="1" applyFill="1" applyBorder="1" applyAlignment="1">
      <x:alignment vertical="center" wrapText="1"/>
    </x:xf>
    <x:xf numFmtId="204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6" fillId="3" borderId="0" xfId="0" applyNumberFormat="1" applyFont="1" applyFill="1" applyBorder="1"/>
    <x:xf numFmtId="0" fontId="6" fillId="3" borderId="5" xfId="0" applyNumberFormat="1" applyFont="1" applyFill="1" applyBorder="1"/>
    <x:xf numFmtId="0" fontId="6" fillId="3" borderId="6" xfId="0" applyNumberFormat="1" applyFont="1" applyFill="1" applyBorder="1"/>
    <x:xf numFmtId="0" fontId="6" fillId="3" borderId="7" xfId="0" applyNumberFormat="1" applyFont="1" applyFill="1" applyBorder="1"/>
    <x:xf numFmtId="0" fontId="6" fillId="3" borderId="8" xfId="0" applyNumberFormat="1" applyFont="1" applyFill="1" applyBorder="1"/>
    <x:xf numFmtId="0" fontId="6" fillId="3" borderId="9" xfId="0" applyNumberFormat="1" applyFont="1" applyFill="1" applyBorder="1"/>
    <x:xf numFmtId="0" fontId="6" fillId="3" borderId="10" xfId="0" applyNumberFormat="1" applyFont="1" applyFill="1" applyBorder="1"/>
    <x:xf numFmtId="0" fontId="6" fillId="3" borderId="11" xfId="0" applyNumberFormat="1" applyFont="1" applyFill="1" applyBorder="1"/>
    <x:xf numFmtId="0" fontId="6" fillId="3" borderId="12" xfId="0" applyNumberFormat="1" applyFont="1" applyFill="1" applyBorder="1"/>
    <x:xf numFmtId="0" fontId="6" fillId="3" borderId="5" xfId="0" applyNumberFormat="1" applyFont="1" applyFill="1" applyBorder="1" applyAlignment="1">
      <x:alignment wrapText="1"/>
    </x:xf>
    <x:xf numFmtId="0" fontId="6" fillId="3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6" fillId="3" borderId="8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wrapText="1"/>
    </x:xf>
    <x:xf numFmtId="0" fontId="6" fillId="3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6" fillId="3" borderId="11" xfId="0" applyNumberFormat="1" applyFont="1" applyFill="1" applyBorder="1" applyAlignment="1">
      <x:alignment wrapText="1"/>
    </x:xf>
    <x:xf numFmtId="0" fontId="6" fillId="3" borderId="12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6" xfId="0" applyNumberFormat="1" applyFont="1" applyFill="1" applyBorder="1" applyAlignment="1">
      <x:alignment vertical="center" wrapText="1"/>
    </x:xf>
    <x:xf numFmtId="0" fontId="6" fillId="3" borderId="7" xfId="0" applyNumberFormat="1" applyFont="1" applyFill="1" applyBorder="1" applyAlignment="1">
      <x:alignment vertical="center" wrapText="1"/>
    </x:xf>
    <x:xf numFmtId="0" fontId="6" fillId="3" borderId="8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10" xfId="0" applyNumberFormat="1" applyFont="1" applyFill="1" applyBorder="1" applyAlignment="1">
      <x:alignment vertical="center" wrapText="1"/>
    </x:xf>
    <x:xf numFmtId="0" fontId="6" fillId="3" borderId="11" xfId="0" applyNumberFormat="1" applyFont="1" applyFill="1" applyBorder="1" applyAlignment="1">
      <x:alignment vertical="center" wrapText="1"/>
    </x:xf>
    <x:xf numFmtId="0" fontId="6" fillId="3" borderId="12" xfId="0" applyNumberFormat="1" applyFont="1" applyFill="1" applyBorder="1" applyAlignment="1">
      <x:alignment vertical="center" wrapText="1"/>
    </x:xf>
    <x:xf numFmtId="0" fontId="0" fillId="5" borderId="13" xfId="0" applyNumberFormat="1" applyFont="1" applyFill="1" applyBorder="1"/>
    <x:xf numFmtId="203" fontId="0" fillId="5" borderId="13" xfId="0" applyNumberFormat="1" applyFont="1" applyFill="1" applyBorder="1"/>
    <x:xf numFmtId="203" fontId="0" fillId="0" borderId="0" xfId="0" applyNumberFormat="1" applyFont="1" applyFill="1" applyBorder="1"/>
    <x:xf numFmtId="205" fontId="0" fillId="5" borderId="13" xfId="0" applyNumberFormat="1" applyFont="1" applyFill="1" applyBorder="1"/>
    <x:xf numFmtId="205" fontId="0" fillId="0" borderId="0" xfId="0" applyNumberFormat="1" applyFont="1" applyFill="1" applyBorder="1"/>
    <x:xf numFmtId="204" fontId="0" fillId="5" borderId="13" xfId="0" applyNumberFormat="1" applyFont="1" applyFill="1" applyBorder="1"/>
    <x:xf numFmtId="206" fontId="0" fillId="5" borderId="13" xfId="0" applyNumberFormat="1" applyFont="1" applyFill="1" applyBorder="1"/>
    <x:xf numFmtId="206" fontId="0" fillId="0" borderId="0" xfId="0" applyNumberFormat="1" applyFont="1" applyFill="1" applyBorder="1"/>
  </x:cellXfs>
  <x:cellStyles count="1">
    <x:cellStyle name="Normal" xfId="0"/>
  </x:cellStyles>
  <x:dxfs count="2">
    <x:dxf>
      <x:font>
        <x:color rgb="FF2E8B6D"/>
      </x:font>
      <x:fill>
        <x:patternFill patternType="solid">
          <x:bgColor rgb="FFDDF4EA"/>
        </x:patternFill>
      </x:fill>
    </x:dxf>
    <x:dxf>
      <x:font>
        <x:color rgb="FF8A5A00"/>
      </x:font>
      <x:fill>
        <x:patternFill patternType="solid"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fcf718f121042a5" /><Relationship Type="http://schemas.openxmlformats.org/officeDocument/2006/relationships/theme" Target="/xl/theme/theme1.xml" Id="Rc2cbb13180fb4c58" /><Relationship Type="http://schemas.openxmlformats.org/officeDocument/2006/relationships/sharedStrings" Target="/xl/sharedStrings.xml" Id="Rc0c9c5d6ca7f40c0" /><Relationship Type="http://schemas.openxmlformats.org/officeDocument/2006/relationships/worksheet" Target="/xl/worksheets/sheet1.xml" Id="R3e685fba42ac40b7" /><Relationship Type="http://schemas.openxmlformats.org/officeDocument/2006/relationships/worksheet" Target="/xl/worksheets/sheet2.xml" Id="R490ae1e176094e5b" /><Relationship Type="http://schemas.openxmlformats.org/officeDocument/2006/relationships/worksheet" Target="/xl/worksheets/sheet3.xml" Id="R683f72dc84364200" /><Relationship Type="http://schemas.openxmlformats.org/officeDocument/2006/relationships/worksheet" Target="/xl/worksheets/sheet4.xml" Id="R947af93541f74e75" /><Relationship Type="http://schemas.openxmlformats.org/officeDocument/2006/relationships/worksheet" Target="/xl/worksheets/sheet5.xml" Id="R7ac70cadf7634e9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b792a21aaf9448e" /><Relationship Type="http://schemas.openxmlformats.org/officeDocument/2006/relationships/chart" Target="/xl/drawings/charts/chart2.xml" Id="R188d175b24af4cf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Ventas confirmadas por mes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Ventas PEN</c:v>
          </c:tx>
          <c:spPr>
            <a:solidFill xmlns:a="http://schemas.openxmlformats.org/drawingml/2006/main">
              <a:srgbClr val="E8879B"/>
            </a:solidFill>
          </c:spPr>
          <c:marker>
            <c:symbol val="none"/>
          </c:marker>
          <c:cat>
            <c:strRef>
              <c:f>'Resumen'!$A$14:$A$25</c:f>
              <c:strCache>
                <c:ptCount val="0"/>
              </c:strCache>
            </c:strRef>
          </c:cat>
          <c:val>
            <c:numRef>
              <c:f>'Resumen'!$B$14:$B$25</c:f>
              <c:numCache>
                <c:formatCode>"S/ "#,##0.00</c:formatCode>
                <c:ptCount val="0"/>
              </c:numCache>
            </c:numRef>
          </c:val>
          <c:smooth val="0"/>
        </c:ser>
        <c:ser>
          <c:idx val="1"/>
          <c:order val="1"/>
          <c:tx>
            <c:v>Ventas USD</c:v>
          </c:tx>
          <c:spPr>
            <a:solidFill xmlns:a="http://schemas.openxmlformats.org/drawingml/2006/main">
              <a:srgbClr val="2F6F9F"/>
            </a:solidFill>
          </c:spPr>
          <c:marker>
            <c:symbol val="none"/>
          </c:marker>
          <c:cat>
            <c:strRef>
              <c:f>'Resumen'!$A$14:$A$25</c:f>
              <c:strCache>
                <c:ptCount val="0"/>
              </c:strCache>
            </c:strRef>
          </c:cat>
          <c:val>
            <c:numRef>
              <c:f>'Resumen'!$C$14:$C$25</c:f>
              <c:numCache>
                <c:formatCode>"US$ "#,##0.00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Embudo operativo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Total</c:v>
          </c:tx>
          <c:spPr>
            <a:solidFill xmlns:a="http://schemas.openxmlformats.org/drawingml/2006/main">
              <a:srgbClr val="E8879B"/>
            </a:solidFill>
          </c:spPr>
          <c:cat>
            <c:strRef>
              <c:f>'Resumen'!$E$14:$E$17</c:f>
              <c:strCache>
                <c:ptCount val="0"/>
              </c:strCache>
            </c:strRef>
          </c:cat>
          <c:val>
            <c:numRef>
              <c:f>'Resumen'!$F$14:$F$17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12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b792a21aaf9448e"/>
        </a:graphicData>
      </a:graphic>
    </xdr:graphicFrame>
    <xdr:clientData/>
  </xdr:twoCellAnchor>
  <xdr:twoCellAnchor>
    <xdr:from>
      <xdr:col>0</xdr:col>
      <xdr:colOff>0</xdr:colOff>
      <xdr:row>27</xdr:row>
      <xdr:rowOff>0</xdr:rowOff>
    </xdr:from>
    <xdr:to>
      <xdr:col>6</xdr:col>
      <xdr:colOff>0</xdr:colOff>
      <xdr:row>43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88d175b24af4cf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d75de78ae92465d" /></Relationships>
</file>

<file path=xl/worksheets/sheet1.xml><?xml version="1.0" encoding="utf-8"?>
<x:worksheet xmlns:x="http://schemas.openxmlformats.org/spreadsheetml/2006/main">
  <x:sheetPr>
    <x:tabColor rgb="FFE8879B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3" max="13" width="0.25" hidden="0" customWidth="1"/>
    <x:col min="1" max="1" width="15.630000114440918" hidden="0" customWidth="1"/>
    <x:col min="2" max="2" width="11.880000114440918" hidden="0" customWidth="1"/>
    <x:col min="3" max="3" width="11.5" hidden="0" customWidth="1"/>
    <x:col min="4" max="4" width="15.630000114440918" hidden="0" customWidth="1"/>
    <x:col min="5" max="5" width="16.8799991607666" hidden="0" customWidth="1"/>
    <x:col min="6" max="6" width="11.5" hidden="0" customWidth="1"/>
    <x:col min="7" max="7" width="15.630000114440918" hidden="0" customWidth="1"/>
    <x:col min="8" max="8" width="13.75" hidden="0" customWidth="1"/>
    <x:col min="9" max="9" width="13.75" hidden="0" customWidth="1"/>
    <x:col min="10" max="10" width="16.8799991607666" hidden="0" customWidth="1"/>
    <x:col min="11" max="11" width="14.380000114440918" hidden="0" customWidth="1"/>
    <x:col min="12" max="12" width="13.75" hidden="0" customWidth="1"/>
  </x:cols>
  <x:sheetData>
    <x:row r="1" ht="22.5" customHeight="1">
      <x:c r="A1" s="3" t="str">
        <x:v>NeoSer · tablero comercial</x:v>
      </x:c>
    </x:row>
    <x:row r="2" ht="22.5" customHeight="1"/>
    <x:row r="3" ht="21" customHeight="1">
      <x:c r="A3" s="6" t="str">
        <x:v>Ventas, campañas y tráfico de neoser.pe. Los importes PEN y USD se muestran por separado.</x:v>
      </x:c>
    </x:row>
    <x:row r="5">
      <x:c r="A5" s="13" t="str">
        <x:v>VENTAS CONFIRMADAS</x:v>
      </x:c>
      <x:c r="B5" s="14" t="str">
        <x:v>PEN</x:v>
      </x:c>
      <x:c r="D5" s="27" t="str">
        <x:v>VENTAS CONFIRMADAS</x:v>
      </x:c>
      <x:c r="E5" s="28" t="str">
        <x:v>USD</x:v>
      </x:c>
      <x:c r="G5" s="35" t="str">
        <x:v>PAYPAL PENDIENTES</x:v>
      </x:c>
      <x:c r="H5" s="36" t="str">
        <x:v>DEVOLUCIONES</x:v>
      </x:c>
      <x:c r="J5" s="43" t="str">
        <x:v>SESIONES GA4</x:v>
      </x:c>
      <x:c r="K5" s="44" t="str">
        <x:v>USUARIOS</x:v>
      </x:c>
    </x:row>
    <x:row r="6">
      <x:c r="A6" s="19" t="n">
        <x:f>COUNTIFS(Pagos!$E$2:$E$5001,"approved",Pagos!$G$2:$G$5001,"PEN")</x:f>
        <x:v>0</x:v>
      </x:c>
      <x:c r="B6" s="45" t="n">
        <x:f>SUMIFS(Pagos!$F$2:$F$5001,Pagos!$E$2:$E$5001,"approved",Pagos!$G$2:$G$5001,"PEN")</x:f>
        <x:v>0</x:v>
      </x:c>
      <x:c r="D6" s="19" t="n">
        <x:f>COUNTIFS(Pagos!$E$2:$E$5001,"approved",Pagos!$G$2:$G$5001,"USD")</x:f>
        <x:v>0</x:v>
      </x:c>
      <x:c r="E6" s="46" t="n">
        <x:f>SUMIFS(Pagos!$F$2:$F$5001,Pagos!$E$2:$E$5001,"approved",Pagos!$G$2:$G$5001,"USD")</x:f>
        <x:v>0</x:v>
      </x:c>
      <x:c r="G6" s="19" t="n">
        <x:f>COUNTIFS(Pagos!$D$2:$D$5001,"paypal",Pagos!$E$2:$E$5001,"pending")</x:f>
        <x:v>0</x:v>
      </x:c>
      <x:c r="H6" s="20" t="n">
        <x:f>COUNTIF(Pagos!$E$2:$E$5001,"refunded")</x:f>
        <x:v>0</x:v>
      </x:c>
      <x:c r="J6" s="19" t="n">
        <x:f>SUM('Tráfico'!$F$2:$F$5001)</x:f>
        <x:v>0</x:v>
      </x:c>
      <x:c r="K6" s="20" t="n">
        <x:f>SUM('Tráfico'!$G$2:$G$5001)</x:f>
        <x:v>0</x:v>
      </x:c>
    </x:row>
    <x:row r="9">
      <x:c r="A9" s="13" t="str">
        <x:v>MENSAJES MANYCHAT</x:v>
      </x:c>
      <x:c r="B9" s="14" t="str">
        <x:v>LECTURA</x:v>
      </x:c>
      <x:c r="D9" s="27" t="str">
        <x:v>CLICS MANYCHAT</x:v>
      </x:c>
      <x:c r="E9" s="28" t="str">
        <x:v>CTR</x:v>
      </x:c>
      <x:c r="G9" s="43" t="str">
        <x:v>VISTAS WEB</x:v>
      </x:c>
      <x:c r="H9" s="44" t="str">
        <x:v>EVENTOS CLAVE</x:v>
      </x:c>
      <x:c r="J9" s="53" t="str">
        <x:v>ÚLTIMA SINCRONIZACIÓN</x:v>
      </x:c>
      <x:c r="K9" s="54"/>
    </x:row>
    <x:row r="10">
      <x:c r="A10" s="19" t="n">
        <x:f>SUM('Campañas'!$E$2:$E$101)</x:f>
        <x:v>0</x:v>
      </x:c>
      <x:c r="B10" s="55" t="n">
        <x:f>IFERROR(SUM('Campañas'!$G$2:$G$101)/SUM('Campañas'!$F$2:$F$101),0)</x:f>
        <x:v>0</x:v>
      </x:c>
      <x:c r="C10" s="56"/>
      <x:c r="D10" s="57" t="n">
        <x:f>SUM('Campañas'!$H$2:$H$101)</x:f>
        <x:v>0</x:v>
      </x:c>
      <x:c r="E10" s="55" t="n">
        <x:f>IFERROR(SUM('Campañas'!$H$2:$H$101)/SUM('Campañas'!$G$2:$G$101),0)</x:f>
        <x:v>0</x:v>
      </x:c>
      <x:c r="G10" s="19" t="n">
        <x:f>SUM('Tráfico'!$H$2:$H$5001)</x:f>
        <x:v>0</x:v>
      </x:c>
      <x:c r="H10" s="20" t="n">
        <x:f>SUM('Tráfico'!$J$2:$J$5001)</x:f>
        <x:v>0</x:v>
      </x:c>
      <x:c r="J10" s="58" t="str">
        <x:f>IF(COUNTA(Control!$A$2:$A$101)=0,"Sin sincronizar",MAX(Control!$A$2:$A$101))</x:f>
        <x:v>Sin sincronizar</x:v>
      </x:c>
      <x:c r="K10" s="20"/>
    </x:row>
    <x:row r="13" ht="25.5" customHeight="1">
      <x:c r="A13" s="62" t="str">
        <x:v>Mes</x:v>
      </x:c>
      <x:c r="B13" s="62" t="str">
        <x:v>Ventas PEN</x:v>
      </x:c>
      <x:c r="C13" s="62" t="str">
        <x:v>Ventas USD</x:v>
      </x:c>
      <x:c r="E13" s="62" t="str">
        <x:v>Etapa</x:v>
      </x:c>
      <x:c r="F13" s="62" t="str">
        <x:v>Total</x:v>
      </x:c>
    </x:row>
    <x:row r="14">
      <x:c r="A14" s="66" t="str">
        <x:v>oct. 2025</x:v>
      </x:c>
      <x:c r="B14" s="67" t="n">
        <x:f>SUMIFS(Pagos!$F$2:$F$5001,Pagos!$A$2:$A$5001,"&gt;="&amp;M14,Pagos!$A$2:$A$5001,"&lt;"&amp;EDATE(M14,1),Pagos!$E$2:$E$5001,"approved",Pagos!$G$2:$G$5001,"PEN")</x:f>
        <x:v>0</x:v>
      </x:c>
      <x:c r="C14" s="68" t="n">
        <x:f>SUMIFS(Pagos!$F$2:$F$5001,Pagos!$A$2:$A$5001,"&gt;="&amp;M14,Pagos!$A$2:$A$5001,"&lt;"&amp;EDATE(M14,1),Pagos!$E$2:$E$5001,"approved",Pagos!$G$2:$G$5001,"USD")</x:f>
        <x:v>0</x:v>
      </x:c>
      <x:c r="E14" s="66" t="str">
        <x:v>ManyChat enviados</x:v>
      </x:c>
      <x:c r="F14" s="66" t="n">
        <x:f>SUM('Campañas'!$E$2:$E$101)</x:f>
        <x:v>0</x:v>
      </x:c>
      <x:c r="M14" s="63" t="n">
        <x:v>45931</x:v>
      </x:c>
    </x:row>
    <x:row r="15">
      <x:c r="A15" s="66" t="str">
        <x:v>nov. 2025</x:v>
      </x:c>
      <x:c r="B15" s="67" t="n">
        <x:f>SUMIFS(Pagos!$F$2:$F$5001,Pagos!$A$2:$A$5001,"&gt;="&amp;M15,Pagos!$A$2:$A$5001,"&lt;"&amp;EDATE(M15,1),Pagos!$E$2:$E$5001,"approved",Pagos!$G$2:$G$5001,"PEN")</x:f>
        <x:v>0</x:v>
      </x:c>
      <x:c r="C15" s="68" t="n">
        <x:f>SUMIFS(Pagos!$F$2:$F$5001,Pagos!$A$2:$A$5001,"&gt;="&amp;M15,Pagos!$A$2:$A$5001,"&lt;"&amp;EDATE(M15,1),Pagos!$E$2:$E$5001,"approved",Pagos!$G$2:$G$5001,"USD")</x:f>
        <x:v>0</x:v>
      </x:c>
      <x:c r="E15" s="66" t="str">
        <x:v>ManyChat leídos</x:v>
      </x:c>
      <x:c r="F15" s="66" t="n">
        <x:f>SUM('Campañas'!$G$2:$G$101)</x:f>
        <x:v>0</x:v>
      </x:c>
      <x:c r="M15" s="63" t="n">
        <x:v>45962</x:v>
      </x:c>
    </x:row>
    <x:row r="16">
      <x:c r="A16" s="66" t="str">
        <x:v>dic. 2025</x:v>
      </x:c>
      <x:c r="B16" s="67" t="n">
        <x:f>SUMIFS(Pagos!$F$2:$F$5001,Pagos!$A$2:$A$5001,"&gt;="&amp;M16,Pagos!$A$2:$A$5001,"&lt;"&amp;EDATE(M16,1),Pagos!$E$2:$E$5001,"approved",Pagos!$G$2:$G$5001,"PEN")</x:f>
        <x:v>0</x:v>
      </x:c>
      <x:c r="C16" s="68" t="n">
        <x:f>SUMIFS(Pagos!$F$2:$F$5001,Pagos!$A$2:$A$5001,"&gt;="&amp;M16,Pagos!$A$2:$A$5001,"&lt;"&amp;EDATE(M16,1),Pagos!$E$2:$E$5001,"approved",Pagos!$G$2:$G$5001,"USD")</x:f>
        <x:v>0</x:v>
      </x:c>
      <x:c r="E16" s="66" t="str">
        <x:v>ManyChat clics</x:v>
      </x:c>
      <x:c r="F16" s="66" t="n">
        <x:f>SUM('Campañas'!$H$2:$H$101)</x:f>
        <x:v>0</x:v>
      </x:c>
      <x:c r="M16" s="63" t="n">
        <x:v>45992</x:v>
      </x:c>
    </x:row>
    <x:row r="17">
      <x:c r="A17" s="66" t="str">
        <x:v>ene. 2026</x:v>
      </x:c>
      <x:c r="B17" s="67" t="n">
        <x:f>SUMIFS(Pagos!$F$2:$F$5001,Pagos!$A$2:$A$5001,"&gt;="&amp;M17,Pagos!$A$2:$A$5001,"&lt;"&amp;EDATE(M17,1),Pagos!$E$2:$E$5001,"approved",Pagos!$G$2:$G$5001,"PEN")</x:f>
        <x:v>0</x:v>
      </x:c>
      <x:c r="C17" s="68" t="n">
        <x:f>SUMIFS(Pagos!$F$2:$F$5001,Pagos!$A$2:$A$5001,"&gt;="&amp;M17,Pagos!$A$2:$A$5001,"&lt;"&amp;EDATE(M17,1),Pagos!$E$2:$E$5001,"approved",Pagos!$G$2:$G$5001,"USD")</x:f>
        <x:v>0</x:v>
      </x:c>
      <x:c r="E17" s="66" t="str">
        <x:v>Ventas aprobadas</x:v>
      </x:c>
      <x:c r="F17" s="66" t="n">
        <x:f>COUNTIF(Pagos!$E$2:$E$5001,"approved")</x:f>
        <x:v>0</x:v>
      </x:c>
      <x:c r="M17" s="63" t="n">
        <x:v>46023</x:v>
      </x:c>
    </x:row>
    <x:row r="18">
      <x:c r="A18" s="66" t="str">
        <x:v>feb. 2026</x:v>
      </x:c>
      <x:c r="B18" s="67" t="n">
        <x:f>SUMIFS(Pagos!$F$2:$F$5001,Pagos!$A$2:$A$5001,"&gt;="&amp;M18,Pagos!$A$2:$A$5001,"&lt;"&amp;EDATE(M18,1),Pagos!$E$2:$E$5001,"approved",Pagos!$G$2:$G$5001,"PEN")</x:f>
        <x:v>0</x:v>
      </x:c>
      <x:c r="C18" s="68" t="n">
        <x:f>SUMIFS(Pagos!$F$2:$F$5001,Pagos!$A$2:$A$5001,"&gt;="&amp;M18,Pagos!$A$2:$A$5001,"&lt;"&amp;EDATE(M18,1),Pagos!$E$2:$E$5001,"approved",Pagos!$G$2:$G$5001,"USD")</x:f>
        <x:v>0</x:v>
      </x:c>
      <x:c r="M18" s="63" t="n">
        <x:v>46054</x:v>
      </x:c>
    </x:row>
    <x:row r="19">
      <x:c r="A19" s="66" t="str">
        <x:v>mar. 2026</x:v>
      </x:c>
      <x:c r="B19" s="67" t="n">
        <x:f>SUMIFS(Pagos!$F$2:$F$5001,Pagos!$A$2:$A$5001,"&gt;="&amp;M19,Pagos!$A$2:$A$5001,"&lt;"&amp;EDATE(M19,1),Pagos!$E$2:$E$5001,"approved",Pagos!$G$2:$G$5001,"PEN")</x:f>
        <x:v>0</x:v>
      </x:c>
      <x:c r="C19" s="68" t="n">
        <x:f>SUMIFS(Pagos!$F$2:$F$5001,Pagos!$A$2:$A$5001,"&gt;="&amp;M19,Pagos!$A$2:$A$5001,"&lt;"&amp;EDATE(M19,1),Pagos!$E$2:$E$5001,"approved",Pagos!$G$2:$G$5001,"USD")</x:f>
        <x:v>0</x:v>
      </x:c>
      <x:c r="M19" s="63" t="n">
        <x:v>46082</x:v>
      </x:c>
    </x:row>
    <x:row r="20">
      <x:c r="A20" s="66" t="str">
        <x:v>abr. 2026</x:v>
      </x:c>
      <x:c r="B20" s="67" t="n">
        <x:f>SUMIFS(Pagos!$F$2:$F$5001,Pagos!$A$2:$A$5001,"&gt;="&amp;M20,Pagos!$A$2:$A$5001,"&lt;"&amp;EDATE(M20,1),Pagos!$E$2:$E$5001,"approved",Pagos!$G$2:$G$5001,"PEN")</x:f>
        <x:v>0</x:v>
      </x:c>
      <x:c r="C20" s="68" t="n">
        <x:f>SUMIFS(Pagos!$F$2:$F$5001,Pagos!$A$2:$A$5001,"&gt;="&amp;M20,Pagos!$A$2:$A$5001,"&lt;"&amp;EDATE(M20,1),Pagos!$E$2:$E$5001,"approved",Pagos!$G$2:$G$5001,"USD")</x:f>
        <x:v>0</x:v>
      </x:c>
      <x:c r="M20" s="63" t="n">
        <x:v>46113</x:v>
      </x:c>
    </x:row>
    <x:row r="21">
      <x:c r="A21" s="66" t="str">
        <x:v>may. 2026</x:v>
      </x:c>
      <x:c r="B21" s="67" t="n">
        <x:f>SUMIFS(Pagos!$F$2:$F$5001,Pagos!$A$2:$A$5001,"&gt;="&amp;M21,Pagos!$A$2:$A$5001,"&lt;"&amp;EDATE(M21,1),Pagos!$E$2:$E$5001,"approved",Pagos!$G$2:$G$5001,"PEN")</x:f>
        <x:v>0</x:v>
      </x:c>
      <x:c r="C21" s="68" t="n">
        <x:f>SUMIFS(Pagos!$F$2:$F$5001,Pagos!$A$2:$A$5001,"&gt;="&amp;M21,Pagos!$A$2:$A$5001,"&lt;"&amp;EDATE(M21,1),Pagos!$E$2:$E$5001,"approved",Pagos!$G$2:$G$5001,"USD")</x:f>
        <x:v>0</x:v>
      </x:c>
      <x:c r="M21" s="63" t="n">
        <x:v>46143</x:v>
      </x:c>
    </x:row>
    <x:row r="22">
      <x:c r="A22" s="66" t="str">
        <x:v>jun. 2026</x:v>
      </x:c>
      <x:c r="B22" s="67" t="n">
        <x:f>SUMIFS(Pagos!$F$2:$F$5001,Pagos!$A$2:$A$5001,"&gt;="&amp;M22,Pagos!$A$2:$A$5001,"&lt;"&amp;EDATE(M22,1),Pagos!$E$2:$E$5001,"approved",Pagos!$G$2:$G$5001,"PEN")</x:f>
        <x:v>0</x:v>
      </x:c>
      <x:c r="C22" s="68" t="n">
        <x:f>SUMIFS(Pagos!$F$2:$F$5001,Pagos!$A$2:$A$5001,"&gt;="&amp;M22,Pagos!$A$2:$A$5001,"&lt;"&amp;EDATE(M22,1),Pagos!$E$2:$E$5001,"approved",Pagos!$G$2:$G$5001,"USD")</x:f>
        <x:v>0</x:v>
      </x:c>
      <x:c r="M22" s="63" t="n">
        <x:v>46174</x:v>
      </x:c>
    </x:row>
    <x:row r="23">
      <x:c r="A23" s="66" t="str">
        <x:v>jul. 2026</x:v>
      </x:c>
      <x:c r="B23" s="67" t="n">
        <x:f>SUMIFS(Pagos!$F$2:$F$5001,Pagos!$A$2:$A$5001,"&gt;="&amp;M23,Pagos!$A$2:$A$5001,"&lt;"&amp;EDATE(M23,1),Pagos!$E$2:$E$5001,"approved",Pagos!$G$2:$G$5001,"PEN")</x:f>
        <x:v>0</x:v>
      </x:c>
      <x:c r="C23" s="68" t="n">
        <x:f>SUMIFS(Pagos!$F$2:$F$5001,Pagos!$A$2:$A$5001,"&gt;="&amp;M23,Pagos!$A$2:$A$5001,"&lt;"&amp;EDATE(M23,1),Pagos!$E$2:$E$5001,"approved",Pagos!$G$2:$G$5001,"USD")</x:f>
        <x:v>0</x:v>
      </x:c>
      <x:c r="M23" s="63" t="n">
        <x:v>46204</x:v>
      </x:c>
    </x:row>
    <x:row r="24">
      <x:c r="A24" s="66" t="str">
        <x:v>ago. 2026</x:v>
      </x:c>
      <x:c r="B24" s="67" t="n">
        <x:f>SUMIFS(Pagos!$F$2:$F$5001,Pagos!$A$2:$A$5001,"&gt;="&amp;M24,Pagos!$A$2:$A$5001,"&lt;"&amp;EDATE(M24,1),Pagos!$E$2:$E$5001,"approved",Pagos!$G$2:$G$5001,"PEN")</x:f>
        <x:v>0</x:v>
      </x:c>
      <x:c r="C24" s="68" t="n">
        <x:f>SUMIFS(Pagos!$F$2:$F$5001,Pagos!$A$2:$A$5001,"&gt;="&amp;M24,Pagos!$A$2:$A$5001,"&lt;"&amp;EDATE(M24,1),Pagos!$E$2:$E$5001,"approved",Pagos!$G$2:$G$5001,"USD")</x:f>
        <x:v>0</x:v>
      </x:c>
      <x:c r="M24" s="63" t="n">
        <x:v>46235</x:v>
      </x:c>
    </x:row>
    <x:row r="25">
      <x:c r="A25" s="66" t="str">
        <x:v>set. 2026</x:v>
      </x:c>
      <x:c r="B25" s="67" t="n">
        <x:f>SUMIFS(Pagos!$F$2:$F$5001,Pagos!$A$2:$A$5001,"&gt;="&amp;M25,Pagos!$A$2:$A$5001,"&lt;"&amp;EDATE(M25,1),Pagos!$E$2:$E$5001,"approved",Pagos!$G$2:$G$5001,"PEN")</x:f>
        <x:v>0</x:v>
      </x:c>
      <x:c r="C25" s="68" t="n">
        <x:f>SUMIFS(Pagos!$F$2:$F$5001,Pagos!$A$2:$A$5001,"&gt;="&amp;M25,Pagos!$A$2:$A$5001,"&lt;"&amp;EDATE(M25,1),Pagos!$E$2:$E$5001,"approved",Pagos!$G$2:$G$5001,"USD")</x:f>
        <x:v>0</x:v>
      </x:c>
      <x:c r="M25" s="63" t="n">
        <x:v>46266</x:v>
      </x:c>
    </x:row>
    <x:row r="28" ht="18" customHeight="1">
      <x:c r="H28" s="87" t="str">
        <x:v>Cómo leer este tablero
• Culqi aprobado cuenta automáticamente.
• PayPal cuenta solo después de validarlo como approved.
• ManyChat se carga manualmente por campaña.
• GA4 se filtra por neoser.pe.</x:v>
      </x:c>
      <x:c r="I28" s="88"/>
      <x:c r="J28" s="88"/>
      <x:c r="K28" s="88"/>
      <x:c r="L28" s="89"/>
    </x:row>
    <x:row r="29" ht="18" customHeight="1">
      <x:c r="H29" s="90"/>
      <x:c r="I29" s="91"/>
      <x:c r="J29" s="91"/>
      <x:c r="K29" s="91"/>
      <x:c r="L29" s="92"/>
    </x:row>
    <x:row r="30" ht="18" customHeight="1">
      <x:c r="H30" s="90"/>
      <x:c r="I30" s="91"/>
      <x:c r="J30" s="91"/>
      <x:c r="K30" s="91"/>
      <x:c r="L30" s="92"/>
    </x:row>
    <x:row r="31" ht="18" customHeight="1">
      <x:c r="H31" s="90"/>
      <x:c r="I31" s="91"/>
      <x:c r="J31" s="91"/>
      <x:c r="K31" s="91"/>
      <x:c r="L31" s="92"/>
    </x:row>
    <x:row r="32" ht="18" customHeight="1">
      <x:c r="H32" s="90"/>
      <x:c r="I32" s="91"/>
      <x:c r="J32" s="91"/>
      <x:c r="K32" s="91"/>
      <x:c r="L32" s="92"/>
    </x:row>
    <x:row r="33" ht="18" customHeight="1">
      <x:c r="H33" s="90"/>
      <x:c r="I33" s="91"/>
      <x:c r="J33" s="91"/>
      <x:c r="K33" s="91"/>
      <x:c r="L33" s="92"/>
    </x:row>
    <x:row r="34" ht="18" customHeight="1">
      <x:c r="H34" s="93"/>
      <x:c r="I34" s="94"/>
      <x:c r="J34" s="94"/>
      <x:c r="K34" s="94"/>
      <x:c r="L34" s="95"/>
    </x:row>
  </x:sheetData>
  <x:mergeCells>
    <x:mergeCell ref="A1:L2"/>
    <x:mergeCell ref="A3:L3"/>
    <x:mergeCell ref="J9:K9"/>
    <x:mergeCell ref="J10:K10"/>
    <x:mergeCell ref="H28:L34"/>
  </x:mergeCells>
  <x:pageMargins left="0.7" right="0.7" top="0.75" bottom="0.75" header="0.3" footer="0.3"/>
  <x:drawing xmlns:r="http://schemas.openxmlformats.org/officeDocument/2006/relationships" r:id="R3d75de78ae92465d"/>
</x:worksheet>
</file>

<file path=xl/worksheets/sheet2.xml><?xml version="1.0" encoding="utf-8"?>
<x:worksheet xmlns:x="http://schemas.openxmlformats.org/spreadsheetml/2006/main">
  <x:sheetPr>
    <x:tabColor rgb="FF1B3A6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.8799991607666" hidden="0" customWidth="1"/>
    <x:col min="2" max="2" width="16.8799991607666" hidden="0" customWidth="1"/>
    <x:col min="3" max="3" width="23.1299991607666" hidden="0" customWidth="1"/>
    <x:col min="4" max="4" width="11.880000114440918" hidden="0" customWidth="1"/>
    <x:col min="5" max="5" width="11.880000114440918" hidden="0" customWidth="1"/>
    <x:col min="6" max="6" width="11.880000114440918" hidden="0" customWidth="1"/>
    <x:col min="7" max="7" width="11.880000114440918" hidden="0" customWidth="1"/>
    <x:col min="8" max="8" width="28.75" hidden="0" customWidth="1"/>
    <x:col min="9" max="9" width="26.25" hidden="0" customWidth="1"/>
    <x:col min="10" max="10" width="18.1299991607666" hidden="0" customWidth="1"/>
    <x:col min="11" max="11" width="18.1299991607666" hidden="0" customWidth="1"/>
    <x:col min="12" max="12" width="18.1299991607666" hidden="0" customWidth="1"/>
    <x:col min="13" max="13" width="18.1299991607666" hidden="0" customWidth="1"/>
    <x:col min="14" max="14" width="18.1299991607666" hidden="0" customWidth="1"/>
  </x:cols>
  <x:sheetData>
    <x:row r="1" ht="25.5" customHeight="1">
      <x:c r="A1" s="62" t="str">
        <x:v>Fecha de pago</x:v>
      </x:c>
      <x:c r="B1" s="62" t="str">
        <x:v>Fecha de registro</x:v>
      </x:c>
      <x:c r="C1" s="62" t="str">
        <x:v>Referencia</x:v>
      </x:c>
      <x:c r="D1" s="62" t="str">
        <x:v>Proveedor</x:v>
      </x:c>
      <x:c r="E1" s="62" t="str">
        <x:v>Estado</x:v>
      </x:c>
      <x:c r="F1" s="62" t="str">
        <x:v>Importe</x:v>
      </x:c>
      <x:c r="G1" s="62" t="str">
        <x:v>Moneda</x:v>
      </x:c>
      <x:c r="H1" s="62" t="str">
        <x:v>Curso</x:v>
      </x:c>
      <x:c r="I1" s="62" t="str">
        <x:v>ID curso</x:v>
      </x:c>
      <x:c r="J1" s="62" t="str">
        <x:v>UTM source</x:v>
      </x:c>
      <x:c r="K1" s="62" t="str">
        <x:v>UTM medium</x:v>
      </x:c>
      <x:c r="L1" s="62" t="str">
        <x:v>UTM campaign</x:v>
      </x:c>
      <x:c r="M1" s="62" t="str">
        <x:v>UTM content</x:v>
      </x:c>
      <x:c r="N1" s="62" t="str">
        <x:v>Landing</x:v>
      </x:c>
    </x:row>
    <x:row r="2">
      <x:c r="A2" s="97"/>
      <x:c r="B2" s="97"/>
      <x:c r="C2" s="96"/>
      <x:c r="D2" s="96"/>
      <x:c r="E2" s="96"/>
      <x:c r="F2" s="99"/>
      <x:c r="G2" s="96"/>
      <x:c r="H2" s="96"/>
      <x:c r="I2" s="96"/>
      <x:c r="J2" s="96"/>
      <x:c r="K2" s="96"/>
      <x:c r="L2" s="96"/>
      <x:c r="M2" s="96"/>
      <x:c r="N2" s="96"/>
    </x:row>
    <x:row r="3">
      <x:c r="A3" s="97"/>
      <x:c r="B3" s="97"/>
      <x:c r="C3" s="96"/>
      <x:c r="D3" s="96"/>
      <x:c r="E3" s="96"/>
      <x:c r="F3" s="99"/>
      <x:c r="G3" s="96"/>
      <x:c r="H3" s="96"/>
      <x:c r="I3" s="96"/>
      <x:c r="J3" s="96"/>
      <x:c r="K3" s="96"/>
      <x:c r="L3" s="96"/>
      <x:c r="M3" s="96"/>
      <x:c r="N3" s="96"/>
    </x:row>
    <x:row r="4">
      <x:c r="A4" s="97"/>
      <x:c r="B4" s="97"/>
      <x:c r="C4" s="96"/>
      <x:c r="D4" s="96"/>
      <x:c r="E4" s="96"/>
      <x:c r="F4" s="99"/>
      <x:c r="G4" s="96"/>
      <x:c r="H4" s="96"/>
      <x:c r="I4" s="96"/>
      <x:c r="J4" s="96"/>
      <x:c r="K4" s="96"/>
      <x:c r="L4" s="96"/>
      <x:c r="M4" s="96"/>
      <x:c r="N4" s="96"/>
    </x:row>
    <x:row r="5">
      <x:c r="A5" s="97"/>
      <x:c r="B5" s="97"/>
      <x:c r="C5" s="96"/>
      <x:c r="D5" s="96"/>
      <x:c r="E5" s="96"/>
      <x:c r="F5" s="99"/>
      <x:c r="G5" s="96"/>
      <x:c r="H5" s="96"/>
      <x:c r="I5" s="96"/>
      <x:c r="J5" s="96"/>
      <x:c r="K5" s="96"/>
      <x:c r="L5" s="96"/>
      <x:c r="M5" s="96"/>
      <x:c r="N5" s="96"/>
    </x:row>
    <x:row r="6">
      <x:c r="A6" s="97"/>
      <x:c r="B6" s="97"/>
      <x:c r="C6" s="96"/>
      <x:c r="D6" s="96"/>
      <x:c r="E6" s="96"/>
      <x:c r="F6" s="99"/>
      <x:c r="G6" s="96"/>
      <x:c r="H6" s="96"/>
      <x:c r="I6" s="96"/>
      <x:c r="J6" s="96"/>
      <x:c r="K6" s="96"/>
      <x:c r="L6" s="96"/>
      <x:c r="M6" s="96"/>
      <x:c r="N6" s="96"/>
    </x:row>
    <x:row r="7">
      <x:c r="A7" s="97"/>
      <x:c r="B7" s="97"/>
      <x:c r="C7" s="96"/>
      <x:c r="D7" s="96"/>
      <x:c r="E7" s="96"/>
      <x:c r="F7" s="99"/>
      <x:c r="G7" s="96"/>
      <x:c r="H7" s="96"/>
      <x:c r="I7" s="96"/>
      <x:c r="J7" s="96"/>
      <x:c r="K7" s="96"/>
      <x:c r="L7" s="96"/>
      <x:c r="M7" s="96"/>
      <x:c r="N7" s="96"/>
    </x:row>
    <x:row r="8">
      <x:c r="A8" s="97"/>
      <x:c r="B8" s="97"/>
      <x:c r="C8" s="96"/>
      <x:c r="D8" s="96"/>
      <x:c r="E8" s="96"/>
      <x:c r="F8" s="99"/>
      <x:c r="G8" s="96"/>
      <x:c r="H8" s="96"/>
      <x:c r="I8" s="96"/>
      <x:c r="J8" s="96"/>
      <x:c r="K8" s="96"/>
      <x:c r="L8" s="96"/>
      <x:c r="M8" s="96"/>
      <x:c r="N8" s="96"/>
    </x:row>
    <x:row r="9">
      <x:c r="A9" s="97"/>
      <x:c r="B9" s="97"/>
      <x:c r="C9" s="96"/>
      <x:c r="D9" s="96"/>
      <x:c r="E9" s="96"/>
      <x:c r="F9" s="99"/>
      <x:c r="G9" s="96"/>
      <x:c r="H9" s="96"/>
      <x:c r="I9" s="96"/>
      <x:c r="J9" s="96"/>
      <x:c r="K9" s="96"/>
      <x:c r="L9" s="96"/>
      <x:c r="M9" s="96"/>
      <x:c r="N9" s="96"/>
    </x:row>
    <x:row r="10">
      <x:c r="A10" s="97"/>
      <x:c r="B10" s="97"/>
      <x:c r="C10" s="96"/>
      <x:c r="D10" s="96"/>
      <x:c r="E10" s="96"/>
      <x:c r="F10" s="99"/>
      <x:c r="G10" s="96"/>
      <x:c r="H10" s="96"/>
      <x:c r="I10" s="96"/>
      <x:c r="J10" s="96"/>
      <x:c r="K10" s="96"/>
      <x:c r="L10" s="96"/>
      <x:c r="M10" s="96"/>
      <x:c r="N10" s="96"/>
    </x:row>
    <x:row r="11">
      <x:c r="A11" s="97"/>
      <x:c r="B11" s="97"/>
      <x:c r="C11" s="96"/>
      <x:c r="D11" s="96"/>
      <x:c r="E11" s="96"/>
      <x:c r="F11" s="99"/>
      <x:c r="G11" s="96"/>
      <x:c r="H11" s="96"/>
      <x:c r="I11" s="96"/>
      <x:c r="J11" s="96"/>
      <x:c r="K11" s="96"/>
      <x:c r="L11" s="96"/>
      <x:c r="M11" s="96"/>
      <x:c r="N11" s="96"/>
    </x:row>
    <x:row r="12">
      <x:c r="A12" s="97"/>
      <x:c r="B12" s="97"/>
      <x:c r="C12" s="96"/>
      <x:c r="D12" s="96"/>
      <x:c r="E12" s="96"/>
      <x:c r="F12" s="99"/>
      <x:c r="G12" s="96"/>
      <x:c r="H12" s="96"/>
      <x:c r="I12" s="96"/>
      <x:c r="J12" s="96"/>
      <x:c r="K12" s="96"/>
      <x:c r="L12" s="96"/>
      <x:c r="M12" s="96"/>
      <x:c r="N12" s="96"/>
    </x:row>
    <x:row r="13">
      <x:c r="A13" s="97"/>
      <x:c r="B13" s="97"/>
      <x:c r="C13" s="96"/>
      <x:c r="D13" s="96"/>
      <x:c r="E13" s="96"/>
      <x:c r="F13" s="99"/>
      <x:c r="G13" s="96"/>
      <x:c r="H13" s="96"/>
      <x:c r="I13" s="96"/>
      <x:c r="J13" s="96"/>
      <x:c r="K13" s="96"/>
      <x:c r="L13" s="96"/>
      <x:c r="M13" s="96"/>
      <x:c r="N13" s="96"/>
    </x:row>
    <x:row r="14">
      <x:c r="A14" s="97"/>
      <x:c r="B14" s="97"/>
      <x:c r="C14" s="96"/>
      <x:c r="D14" s="96"/>
      <x:c r="E14" s="96"/>
      <x:c r="F14" s="99"/>
      <x:c r="G14" s="96"/>
      <x:c r="H14" s="96"/>
      <x:c r="I14" s="96"/>
      <x:c r="J14" s="96"/>
      <x:c r="K14" s="96"/>
      <x:c r="L14" s="96"/>
      <x:c r="M14" s="96"/>
      <x:c r="N14" s="96"/>
    </x:row>
    <x:row r="15">
      <x:c r="A15" s="97"/>
      <x:c r="B15" s="97"/>
      <x:c r="C15" s="96"/>
      <x:c r="D15" s="96"/>
      <x:c r="E15" s="96"/>
      <x:c r="F15" s="99"/>
      <x:c r="G15" s="96"/>
      <x:c r="H15" s="96"/>
      <x:c r="I15" s="96"/>
      <x:c r="J15" s="96"/>
      <x:c r="K15" s="96"/>
      <x:c r="L15" s="96"/>
      <x:c r="M15" s="96"/>
      <x:c r="N15" s="96"/>
    </x:row>
    <x:row r="16">
      <x:c r="A16" s="97"/>
      <x:c r="B16" s="97"/>
      <x:c r="C16" s="96"/>
      <x:c r="D16" s="96"/>
      <x:c r="E16" s="96"/>
      <x:c r="F16" s="99"/>
      <x:c r="G16" s="96"/>
      <x:c r="H16" s="96"/>
      <x:c r="I16" s="96"/>
      <x:c r="J16" s="96"/>
      <x:c r="K16" s="96"/>
      <x:c r="L16" s="96"/>
      <x:c r="M16" s="96"/>
      <x:c r="N16" s="96"/>
    </x:row>
    <x:row r="17">
      <x:c r="A17" s="97"/>
      <x:c r="B17" s="97"/>
      <x:c r="C17" s="96"/>
      <x:c r="D17" s="96"/>
      <x:c r="E17" s="96"/>
      <x:c r="F17" s="99"/>
      <x:c r="G17" s="96"/>
      <x:c r="H17" s="96"/>
      <x:c r="I17" s="96"/>
      <x:c r="J17" s="96"/>
      <x:c r="K17" s="96"/>
      <x:c r="L17" s="96"/>
      <x:c r="M17" s="96"/>
      <x:c r="N17" s="96"/>
    </x:row>
    <x:row r="18">
      <x:c r="A18" s="97"/>
      <x:c r="B18" s="97"/>
      <x:c r="C18" s="96"/>
      <x:c r="D18" s="96"/>
      <x:c r="E18" s="96"/>
      <x:c r="F18" s="99"/>
      <x:c r="G18" s="96"/>
      <x:c r="H18" s="96"/>
      <x:c r="I18" s="96"/>
      <x:c r="J18" s="96"/>
      <x:c r="K18" s="96"/>
      <x:c r="L18" s="96"/>
      <x:c r="M18" s="96"/>
      <x:c r="N18" s="96"/>
    </x:row>
    <x:row r="19">
      <x:c r="A19" s="97"/>
      <x:c r="B19" s="97"/>
      <x:c r="C19" s="96"/>
      <x:c r="D19" s="96"/>
      <x:c r="E19" s="96"/>
      <x:c r="F19" s="99"/>
      <x:c r="G19" s="96"/>
      <x:c r="H19" s="96"/>
      <x:c r="I19" s="96"/>
      <x:c r="J19" s="96"/>
      <x:c r="K19" s="96"/>
      <x:c r="L19" s="96"/>
      <x:c r="M19" s="96"/>
      <x:c r="N19" s="96"/>
    </x:row>
    <x:row r="20">
      <x:c r="A20" s="97"/>
      <x:c r="B20" s="97"/>
      <x:c r="C20" s="96"/>
      <x:c r="D20" s="96"/>
      <x:c r="E20" s="96"/>
      <x:c r="F20" s="99"/>
      <x:c r="G20" s="96"/>
      <x:c r="H20" s="96"/>
      <x:c r="I20" s="96"/>
      <x:c r="J20" s="96"/>
      <x:c r="K20" s="96"/>
      <x:c r="L20" s="96"/>
      <x:c r="M20" s="96"/>
      <x:c r="N20" s="96"/>
    </x:row>
    <x:row r="21">
      <x:c r="A21" s="97"/>
      <x:c r="B21" s="97"/>
      <x:c r="C21" s="96"/>
      <x:c r="D21" s="96"/>
      <x:c r="E21" s="96"/>
      <x:c r="F21" s="99"/>
      <x:c r="G21" s="96"/>
      <x:c r="H21" s="96"/>
      <x:c r="I21" s="96"/>
      <x:c r="J21" s="96"/>
      <x:c r="K21" s="96"/>
      <x:c r="L21" s="96"/>
      <x:c r="M21" s="96"/>
      <x:c r="N21" s="96"/>
    </x:row>
    <x:row r="22">
      <x:c r="A22" s="97"/>
      <x:c r="B22" s="97"/>
      <x:c r="C22" s="96"/>
      <x:c r="D22" s="96"/>
      <x:c r="E22" s="96"/>
      <x:c r="F22" s="99"/>
      <x:c r="G22" s="96"/>
      <x:c r="H22" s="96"/>
      <x:c r="I22" s="96"/>
      <x:c r="J22" s="96"/>
      <x:c r="K22" s="96"/>
      <x:c r="L22" s="96"/>
      <x:c r="M22" s="96"/>
      <x:c r="N22" s="96"/>
    </x:row>
    <x:row r="23">
      <x:c r="A23" s="97"/>
      <x:c r="B23" s="97"/>
      <x:c r="C23" s="96"/>
      <x:c r="D23" s="96"/>
      <x:c r="E23" s="96"/>
      <x:c r="F23" s="99"/>
      <x:c r="G23" s="96"/>
      <x:c r="H23" s="96"/>
      <x:c r="I23" s="96"/>
      <x:c r="J23" s="96"/>
      <x:c r="K23" s="96"/>
      <x:c r="L23" s="96"/>
      <x:c r="M23" s="96"/>
      <x:c r="N23" s="96"/>
    </x:row>
    <x:row r="24">
      <x:c r="A24" s="97"/>
      <x:c r="B24" s="97"/>
      <x:c r="C24" s="96"/>
      <x:c r="D24" s="96"/>
      <x:c r="E24" s="96"/>
      <x:c r="F24" s="99"/>
      <x:c r="G24" s="96"/>
      <x:c r="H24" s="96"/>
      <x:c r="I24" s="96"/>
      <x:c r="J24" s="96"/>
      <x:c r="K24" s="96"/>
      <x:c r="L24" s="96"/>
      <x:c r="M24" s="96"/>
      <x:c r="N24" s="96"/>
    </x:row>
    <x:row r="25">
      <x:c r="A25" s="97"/>
      <x:c r="B25" s="97"/>
      <x:c r="C25" s="96"/>
      <x:c r="D25" s="96"/>
      <x:c r="E25" s="96"/>
      <x:c r="F25" s="99"/>
      <x:c r="G25" s="96"/>
      <x:c r="H25" s="96"/>
      <x:c r="I25" s="96"/>
      <x:c r="J25" s="96"/>
      <x:c r="K25" s="96"/>
      <x:c r="L25" s="96"/>
      <x:c r="M25" s="96"/>
      <x:c r="N25" s="96"/>
    </x:row>
    <x:row r="26">
      <x:c r="A26" s="97"/>
      <x:c r="B26" s="97"/>
      <x:c r="C26" s="96"/>
      <x:c r="D26" s="96"/>
      <x:c r="E26" s="96"/>
      <x:c r="F26" s="99"/>
      <x:c r="G26" s="96"/>
      <x:c r="H26" s="96"/>
      <x:c r="I26" s="96"/>
      <x:c r="J26" s="96"/>
      <x:c r="K26" s="96"/>
      <x:c r="L26" s="96"/>
      <x:c r="M26" s="96"/>
      <x:c r="N26" s="96"/>
    </x:row>
    <x:row r="27">
      <x:c r="A27" s="97"/>
      <x:c r="B27" s="97"/>
      <x:c r="C27" s="96"/>
      <x:c r="D27" s="96"/>
      <x:c r="E27" s="96"/>
      <x:c r="F27" s="99"/>
      <x:c r="G27" s="96"/>
      <x:c r="H27" s="96"/>
      <x:c r="I27" s="96"/>
      <x:c r="J27" s="96"/>
      <x:c r="K27" s="96"/>
      <x:c r="L27" s="96"/>
      <x:c r="M27" s="96"/>
      <x:c r="N27" s="96"/>
    </x:row>
    <x:row r="28">
      <x:c r="A28" s="97"/>
      <x:c r="B28" s="97"/>
      <x:c r="C28" s="96"/>
      <x:c r="D28" s="96"/>
      <x:c r="E28" s="96"/>
      <x:c r="F28" s="99"/>
      <x:c r="G28" s="96"/>
      <x:c r="H28" s="96"/>
      <x:c r="I28" s="96"/>
      <x:c r="J28" s="96"/>
      <x:c r="K28" s="96"/>
      <x:c r="L28" s="96"/>
      <x:c r="M28" s="96"/>
      <x:c r="N28" s="96"/>
    </x:row>
    <x:row r="29">
      <x:c r="A29" s="97"/>
      <x:c r="B29" s="97"/>
      <x:c r="C29" s="96"/>
      <x:c r="D29" s="96"/>
      <x:c r="E29" s="96"/>
      <x:c r="F29" s="99"/>
      <x:c r="G29" s="96"/>
      <x:c r="H29" s="96"/>
      <x:c r="I29" s="96"/>
      <x:c r="J29" s="96"/>
      <x:c r="K29" s="96"/>
      <x:c r="L29" s="96"/>
      <x:c r="M29" s="96"/>
      <x:c r="N29" s="96"/>
    </x:row>
    <x:row r="30">
      <x:c r="A30" s="97"/>
      <x:c r="B30" s="97"/>
      <x:c r="C30" s="96"/>
      <x:c r="D30" s="96"/>
      <x:c r="E30" s="96"/>
      <x:c r="F30" s="99"/>
      <x:c r="G30" s="96"/>
      <x:c r="H30" s="96"/>
      <x:c r="I30" s="96"/>
      <x:c r="J30" s="96"/>
      <x:c r="K30" s="96"/>
      <x:c r="L30" s="96"/>
      <x:c r="M30" s="96"/>
      <x:c r="N30" s="96"/>
    </x:row>
    <x:row r="31">
      <x:c r="A31" s="97"/>
      <x:c r="B31" s="97"/>
      <x:c r="C31" s="96"/>
      <x:c r="D31" s="96"/>
      <x:c r="E31" s="96"/>
      <x:c r="F31" s="99"/>
      <x:c r="G31" s="96"/>
      <x:c r="H31" s="96"/>
      <x:c r="I31" s="96"/>
      <x:c r="J31" s="96"/>
      <x:c r="K31" s="96"/>
      <x:c r="L31" s="96"/>
      <x:c r="M31" s="96"/>
      <x:c r="N31" s="96"/>
    </x:row>
    <x:row r="32">
      <x:c r="A32" s="97"/>
      <x:c r="B32" s="97"/>
      <x:c r="C32" s="96"/>
      <x:c r="D32" s="96"/>
      <x:c r="E32" s="96"/>
      <x:c r="F32" s="99"/>
      <x:c r="G32" s="96"/>
      <x:c r="H32" s="96"/>
      <x:c r="I32" s="96"/>
      <x:c r="J32" s="96"/>
      <x:c r="K32" s="96"/>
      <x:c r="L32" s="96"/>
      <x:c r="M32" s="96"/>
      <x:c r="N32" s="96"/>
    </x:row>
    <x:row r="33">
      <x:c r="A33" s="97"/>
      <x:c r="B33" s="97"/>
      <x:c r="C33" s="96"/>
      <x:c r="D33" s="96"/>
      <x:c r="E33" s="96"/>
      <x:c r="F33" s="99"/>
      <x:c r="G33" s="96"/>
      <x:c r="H33" s="96"/>
      <x:c r="I33" s="96"/>
      <x:c r="J33" s="96"/>
      <x:c r="K33" s="96"/>
      <x:c r="L33" s="96"/>
      <x:c r="M33" s="96"/>
      <x:c r="N33" s="96"/>
    </x:row>
    <x:row r="34">
      <x:c r="A34" s="97"/>
      <x:c r="B34" s="97"/>
      <x:c r="C34" s="96"/>
      <x:c r="D34" s="96"/>
      <x:c r="E34" s="96"/>
      <x:c r="F34" s="99"/>
      <x:c r="G34" s="96"/>
      <x:c r="H34" s="96"/>
      <x:c r="I34" s="96"/>
      <x:c r="J34" s="96"/>
      <x:c r="K34" s="96"/>
      <x:c r="L34" s="96"/>
      <x:c r="M34" s="96"/>
      <x:c r="N34" s="96"/>
    </x:row>
    <x:row r="35">
      <x:c r="A35" s="97"/>
      <x:c r="B35" s="97"/>
      <x:c r="C35" s="96"/>
      <x:c r="D35" s="96"/>
      <x:c r="E35" s="96"/>
      <x:c r="F35" s="99"/>
      <x:c r="G35" s="96"/>
      <x:c r="H35" s="96"/>
      <x:c r="I35" s="96"/>
      <x:c r="J35" s="96"/>
      <x:c r="K35" s="96"/>
      <x:c r="L35" s="96"/>
      <x:c r="M35" s="96"/>
      <x:c r="N35" s="96"/>
    </x:row>
    <x:row r="36">
      <x:c r="A36" s="97"/>
      <x:c r="B36" s="97"/>
      <x:c r="C36" s="96"/>
      <x:c r="D36" s="96"/>
      <x:c r="E36" s="96"/>
      <x:c r="F36" s="99"/>
      <x:c r="G36" s="96"/>
      <x:c r="H36" s="96"/>
      <x:c r="I36" s="96"/>
      <x:c r="J36" s="96"/>
      <x:c r="K36" s="96"/>
      <x:c r="L36" s="96"/>
      <x:c r="M36" s="96"/>
      <x:c r="N36" s="96"/>
    </x:row>
    <x:row r="37">
      <x:c r="A37" s="97"/>
      <x:c r="B37" s="97"/>
      <x:c r="C37" s="96"/>
      <x:c r="D37" s="96"/>
      <x:c r="E37" s="96"/>
      <x:c r="F37" s="99"/>
      <x:c r="G37" s="96"/>
      <x:c r="H37" s="96"/>
      <x:c r="I37" s="96"/>
      <x:c r="J37" s="96"/>
      <x:c r="K37" s="96"/>
      <x:c r="L37" s="96"/>
      <x:c r="M37" s="96"/>
      <x:c r="N37" s="96"/>
    </x:row>
    <x:row r="38">
      <x:c r="A38" s="97"/>
      <x:c r="B38" s="97"/>
      <x:c r="C38" s="96"/>
      <x:c r="D38" s="96"/>
      <x:c r="E38" s="96"/>
      <x:c r="F38" s="99"/>
      <x:c r="G38" s="96"/>
      <x:c r="H38" s="96"/>
      <x:c r="I38" s="96"/>
      <x:c r="J38" s="96"/>
      <x:c r="K38" s="96"/>
      <x:c r="L38" s="96"/>
      <x:c r="M38" s="96"/>
      <x:c r="N38" s="96"/>
    </x:row>
    <x:row r="39">
      <x:c r="A39" s="97"/>
      <x:c r="B39" s="97"/>
      <x:c r="C39" s="96"/>
      <x:c r="D39" s="96"/>
      <x:c r="E39" s="96"/>
      <x:c r="F39" s="99"/>
      <x:c r="G39" s="96"/>
      <x:c r="H39" s="96"/>
      <x:c r="I39" s="96"/>
      <x:c r="J39" s="96"/>
      <x:c r="K39" s="96"/>
      <x:c r="L39" s="96"/>
      <x:c r="M39" s="96"/>
      <x:c r="N39" s="96"/>
    </x:row>
    <x:row r="40">
      <x:c r="A40" s="97"/>
      <x:c r="B40" s="97"/>
      <x:c r="C40" s="96"/>
      <x:c r="D40" s="96"/>
      <x:c r="E40" s="96"/>
      <x:c r="F40" s="99"/>
      <x:c r="G40" s="96"/>
      <x:c r="H40" s="96"/>
      <x:c r="I40" s="96"/>
      <x:c r="J40" s="96"/>
      <x:c r="K40" s="96"/>
      <x:c r="L40" s="96"/>
      <x:c r="M40" s="96"/>
      <x:c r="N40" s="96"/>
    </x:row>
    <x:row r="41">
      <x:c r="A41" s="98"/>
      <x:c r="B41" s="98"/>
      <x:c r="F41" s="100"/>
    </x:row>
    <x:row r="42">
      <x:c r="A42" s="98"/>
      <x:c r="B42" s="98"/>
      <x:c r="F42" s="100"/>
    </x:row>
    <x:row r="43">
      <x:c r="A43" s="98"/>
      <x:c r="B43" s="98"/>
      <x:c r="F43" s="100"/>
    </x:row>
    <x:row r="44">
      <x:c r="A44" s="98"/>
      <x:c r="B44" s="98"/>
      <x:c r="F44" s="100"/>
    </x:row>
    <x:row r="45">
      <x:c r="A45" s="98"/>
      <x:c r="B45" s="98"/>
      <x:c r="F45" s="100"/>
    </x:row>
    <x:row r="46">
      <x:c r="A46" s="98"/>
      <x:c r="B46" s="98"/>
      <x:c r="F46" s="100"/>
    </x:row>
    <x:row r="47">
      <x:c r="A47" s="98"/>
      <x:c r="B47" s="98"/>
      <x:c r="F47" s="100"/>
    </x:row>
    <x:row r="48">
      <x:c r="A48" s="98"/>
      <x:c r="B48" s="98"/>
      <x:c r="F48" s="100"/>
    </x:row>
    <x:row r="49">
      <x:c r="A49" s="98"/>
      <x:c r="B49" s="98"/>
      <x:c r="F49" s="100"/>
    </x:row>
    <x:row r="50">
      <x:c r="A50" s="98"/>
      <x:c r="B50" s="98"/>
      <x:c r="F50" s="100"/>
    </x:row>
    <x:row r="51">
      <x:c r="A51" s="98"/>
      <x:c r="B51" s="98"/>
      <x:c r="F51" s="100"/>
    </x:row>
    <x:row r="52">
      <x:c r="A52" s="98"/>
      <x:c r="B52" s="98"/>
      <x:c r="F52" s="100"/>
    </x:row>
    <x:row r="53">
      <x:c r="A53" s="98"/>
      <x:c r="B53" s="98"/>
      <x:c r="F53" s="100"/>
    </x:row>
    <x:row r="54">
      <x:c r="A54" s="98"/>
      <x:c r="B54" s="98"/>
      <x:c r="F54" s="100"/>
    </x:row>
    <x:row r="55">
      <x:c r="A55" s="98"/>
      <x:c r="B55" s="98"/>
      <x:c r="F55" s="100"/>
    </x:row>
    <x:row r="56">
      <x:c r="A56" s="98"/>
      <x:c r="B56" s="98"/>
      <x:c r="F56" s="100"/>
    </x:row>
    <x:row r="57">
      <x:c r="A57" s="98"/>
      <x:c r="B57" s="98"/>
      <x:c r="F57" s="100"/>
    </x:row>
    <x:row r="58">
      <x:c r="A58" s="98"/>
      <x:c r="B58" s="98"/>
      <x:c r="F58" s="100"/>
    </x:row>
    <x:row r="59">
      <x:c r="A59" s="98"/>
      <x:c r="B59" s="98"/>
      <x:c r="F59" s="100"/>
    </x:row>
    <x:row r="60">
      <x:c r="A60" s="98"/>
      <x:c r="B60" s="98"/>
      <x:c r="F60" s="100"/>
    </x:row>
    <x:row r="61">
      <x:c r="A61" s="98"/>
      <x:c r="B61" s="98"/>
      <x:c r="F61" s="100"/>
    </x:row>
    <x:row r="62">
      <x:c r="A62" s="98"/>
      <x:c r="B62" s="98"/>
      <x:c r="F62" s="100"/>
    </x:row>
    <x:row r="63">
      <x:c r="A63" s="98"/>
      <x:c r="B63" s="98"/>
      <x:c r="F63" s="100"/>
    </x:row>
    <x:row r="64">
      <x:c r="A64" s="98"/>
      <x:c r="B64" s="98"/>
      <x:c r="F64" s="100"/>
    </x:row>
    <x:row r="65">
      <x:c r="A65" s="98"/>
      <x:c r="B65" s="98"/>
      <x:c r="F65" s="100"/>
    </x:row>
    <x:row r="66">
      <x:c r="A66" s="98"/>
      <x:c r="B66" s="98"/>
      <x:c r="F66" s="100"/>
    </x:row>
    <x:row r="67">
      <x:c r="A67" s="98"/>
      <x:c r="B67" s="98"/>
      <x:c r="F67" s="100"/>
    </x:row>
    <x:row r="68">
      <x:c r="A68" s="98"/>
      <x:c r="B68" s="98"/>
      <x:c r="F68" s="100"/>
    </x:row>
    <x:row r="69">
      <x:c r="A69" s="98"/>
      <x:c r="B69" s="98"/>
      <x:c r="F69" s="100"/>
    </x:row>
    <x:row r="70">
      <x:c r="A70" s="98"/>
      <x:c r="B70" s="98"/>
      <x:c r="F70" s="100"/>
    </x:row>
    <x:row r="71">
      <x:c r="A71" s="98"/>
      <x:c r="B71" s="98"/>
      <x:c r="F71" s="100"/>
    </x:row>
    <x:row r="72">
      <x:c r="A72" s="98"/>
      <x:c r="B72" s="98"/>
      <x:c r="F72" s="100"/>
    </x:row>
    <x:row r="73">
      <x:c r="A73" s="98"/>
      <x:c r="B73" s="98"/>
      <x:c r="F73" s="100"/>
    </x:row>
    <x:row r="74">
      <x:c r="A74" s="98"/>
      <x:c r="B74" s="98"/>
      <x:c r="F74" s="100"/>
    </x:row>
    <x:row r="75">
      <x:c r="A75" s="98"/>
      <x:c r="B75" s="98"/>
      <x:c r="F75" s="100"/>
    </x:row>
    <x:row r="76">
      <x:c r="A76" s="98"/>
      <x:c r="B76" s="98"/>
      <x:c r="F76" s="100"/>
    </x:row>
    <x:row r="77">
      <x:c r="A77" s="98"/>
      <x:c r="B77" s="98"/>
      <x:c r="F77" s="100"/>
    </x:row>
    <x:row r="78">
      <x:c r="A78" s="98"/>
      <x:c r="B78" s="98"/>
      <x:c r="F78" s="100"/>
    </x:row>
    <x:row r="79">
      <x:c r="A79" s="98"/>
      <x:c r="B79" s="98"/>
      <x:c r="F79" s="100"/>
    </x:row>
    <x:row r="80">
      <x:c r="A80" s="98"/>
      <x:c r="B80" s="98"/>
      <x:c r="F80" s="100"/>
    </x:row>
    <x:row r="81">
      <x:c r="A81" s="98"/>
      <x:c r="B81" s="98"/>
      <x:c r="F81" s="100"/>
    </x:row>
    <x:row r="82">
      <x:c r="A82" s="98"/>
      <x:c r="B82" s="98"/>
      <x:c r="F82" s="100"/>
    </x:row>
    <x:row r="83">
      <x:c r="A83" s="98"/>
      <x:c r="B83" s="98"/>
      <x:c r="F83" s="100"/>
    </x:row>
    <x:row r="84">
      <x:c r="A84" s="98"/>
      <x:c r="B84" s="98"/>
      <x:c r="F84" s="100"/>
    </x:row>
    <x:row r="85">
      <x:c r="A85" s="98"/>
      <x:c r="B85" s="98"/>
      <x:c r="F85" s="100"/>
    </x:row>
    <x:row r="86">
      <x:c r="A86" s="98"/>
      <x:c r="B86" s="98"/>
      <x:c r="F86" s="100"/>
    </x:row>
    <x:row r="87">
      <x:c r="A87" s="98"/>
      <x:c r="B87" s="98"/>
      <x:c r="F87" s="100"/>
    </x:row>
    <x:row r="88">
      <x:c r="A88" s="98"/>
      <x:c r="B88" s="98"/>
      <x:c r="F88" s="100"/>
    </x:row>
    <x:row r="89">
      <x:c r="A89" s="98"/>
      <x:c r="B89" s="98"/>
      <x:c r="F89" s="100"/>
    </x:row>
    <x:row r="90">
      <x:c r="A90" s="98"/>
      <x:c r="B90" s="98"/>
      <x:c r="F90" s="100"/>
    </x:row>
    <x:row r="91">
      <x:c r="A91" s="98"/>
      <x:c r="B91" s="98"/>
      <x:c r="F91" s="100"/>
    </x:row>
    <x:row r="92">
      <x:c r="A92" s="98"/>
      <x:c r="B92" s="98"/>
      <x:c r="F92" s="100"/>
    </x:row>
    <x:row r="93">
      <x:c r="A93" s="98"/>
      <x:c r="B93" s="98"/>
      <x:c r="F93" s="100"/>
    </x:row>
    <x:row r="94">
      <x:c r="A94" s="98"/>
      <x:c r="B94" s="98"/>
      <x:c r="F94" s="100"/>
    </x:row>
    <x:row r="95">
      <x:c r="A95" s="98"/>
      <x:c r="B95" s="98"/>
      <x:c r="F95" s="100"/>
    </x:row>
    <x:row r="96">
      <x:c r="A96" s="98"/>
      <x:c r="B96" s="98"/>
      <x:c r="F96" s="100"/>
    </x:row>
    <x:row r="97">
      <x:c r="A97" s="98"/>
      <x:c r="B97" s="98"/>
      <x:c r="F97" s="100"/>
    </x:row>
    <x:row r="98">
      <x:c r="A98" s="98"/>
      <x:c r="B98" s="98"/>
      <x:c r="F98" s="100"/>
    </x:row>
    <x:row r="99">
      <x:c r="A99" s="98"/>
      <x:c r="B99" s="98"/>
      <x:c r="F99" s="100"/>
    </x:row>
    <x:row r="100">
      <x:c r="A100" s="98"/>
      <x:c r="B100" s="98"/>
      <x:c r="F100" s="100"/>
    </x:row>
    <x:row r="101">
      <x:c r="A101" s="98"/>
      <x:c r="B101" s="98"/>
      <x:c r="F101" s="100"/>
    </x:row>
    <x:row r="102">
      <x:c r="A102" s="98"/>
      <x:c r="B102" s="98"/>
      <x:c r="F102" s="100"/>
    </x:row>
    <x:row r="103">
      <x:c r="A103" s="98"/>
      <x:c r="B103" s="98"/>
      <x:c r="F103" s="100"/>
    </x:row>
    <x:row r="104">
      <x:c r="A104" s="98"/>
      <x:c r="B104" s="98"/>
      <x:c r="F104" s="100"/>
    </x:row>
    <x:row r="105">
      <x:c r="A105" s="98"/>
      <x:c r="B105" s="98"/>
      <x:c r="F105" s="100"/>
    </x:row>
    <x:row r="106">
      <x:c r="A106" s="98"/>
      <x:c r="B106" s="98"/>
      <x:c r="F106" s="100"/>
    </x:row>
    <x:row r="107">
      <x:c r="A107" s="98"/>
      <x:c r="B107" s="98"/>
      <x:c r="F107" s="100"/>
    </x:row>
    <x:row r="108">
      <x:c r="A108" s="98"/>
      <x:c r="B108" s="98"/>
      <x:c r="F108" s="100"/>
    </x:row>
    <x:row r="109">
      <x:c r="A109" s="98"/>
      <x:c r="B109" s="98"/>
      <x:c r="F109" s="100"/>
    </x:row>
    <x:row r="110">
      <x:c r="A110" s="98"/>
      <x:c r="B110" s="98"/>
      <x:c r="F110" s="100"/>
    </x:row>
    <x:row r="111">
      <x:c r="A111" s="98"/>
      <x:c r="B111" s="98"/>
      <x:c r="F111" s="100"/>
    </x:row>
    <x:row r="112">
      <x:c r="A112" s="98"/>
      <x:c r="B112" s="98"/>
      <x:c r="F112" s="100"/>
    </x:row>
    <x:row r="113">
      <x:c r="A113" s="98"/>
      <x:c r="B113" s="98"/>
      <x:c r="F113" s="100"/>
    </x:row>
    <x:row r="114">
      <x:c r="A114" s="98"/>
      <x:c r="B114" s="98"/>
      <x:c r="F114" s="100"/>
    </x:row>
    <x:row r="115">
      <x:c r="A115" s="98"/>
      <x:c r="B115" s="98"/>
      <x:c r="F115" s="100"/>
    </x:row>
    <x:row r="116">
      <x:c r="A116" s="98"/>
      <x:c r="B116" s="98"/>
      <x:c r="F116" s="100"/>
    </x:row>
    <x:row r="117">
      <x:c r="A117" s="98"/>
      <x:c r="B117" s="98"/>
      <x:c r="F117" s="100"/>
    </x:row>
    <x:row r="118">
      <x:c r="A118" s="98"/>
      <x:c r="B118" s="98"/>
      <x:c r="F118" s="100"/>
    </x:row>
    <x:row r="119">
      <x:c r="A119" s="98"/>
      <x:c r="B119" s="98"/>
      <x:c r="F119" s="100"/>
    </x:row>
    <x:row r="120">
      <x:c r="A120" s="98"/>
      <x:c r="B120" s="98"/>
      <x:c r="F120" s="100"/>
    </x:row>
    <x:row r="121">
      <x:c r="A121" s="98"/>
      <x:c r="B121" s="98"/>
      <x:c r="F121" s="100"/>
    </x:row>
    <x:row r="122">
      <x:c r="A122" s="98"/>
      <x:c r="B122" s="98"/>
      <x:c r="F122" s="100"/>
    </x:row>
    <x:row r="123">
      <x:c r="A123" s="98"/>
      <x:c r="B123" s="98"/>
      <x:c r="F123" s="100"/>
    </x:row>
    <x:row r="124">
      <x:c r="A124" s="98"/>
      <x:c r="B124" s="98"/>
      <x:c r="F124" s="100"/>
    </x:row>
    <x:row r="125">
      <x:c r="A125" s="98"/>
      <x:c r="B125" s="98"/>
      <x:c r="F125" s="100"/>
    </x:row>
    <x:row r="126">
      <x:c r="A126" s="98"/>
      <x:c r="B126" s="98"/>
      <x:c r="F126" s="100"/>
    </x:row>
    <x:row r="127">
      <x:c r="A127" s="98"/>
      <x:c r="B127" s="98"/>
      <x:c r="F127" s="100"/>
    </x:row>
    <x:row r="128">
      <x:c r="A128" s="98"/>
      <x:c r="B128" s="98"/>
      <x:c r="F128" s="100"/>
    </x:row>
    <x:row r="129">
      <x:c r="A129" s="98"/>
      <x:c r="B129" s="98"/>
      <x:c r="F129" s="100"/>
    </x:row>
    <x:row r="130">
      <x:c r="A130" s="98"/>
      <x:c r="B130" s="98"/>
      <x:c r="F130" s="100"/>
    </x:row>
    <x:row r="131">
      <x:c r="A131" s="98"/>
      <x:c r="B131" s="98"/>
      <x:c r="F131" s="100"/>
    </x:row>
    <x:row r="132">
      <x:c r="A132" s="98"/>
      <x:c r="B132" s="98"/>
      <x:c r="F132" s="100"/>
    </x:row>
    <x:row r="133">
      <x:c r="A133" s="98"/>
      <x:c r="B133" s="98"/>
      <x:c r="F133" s="100"/>
    </x:row>
    <x:row r="134">
      <x:c r="A134" s="98"/>
      <x:c r="B134" s="98"/>
      <x:c r="F134" s="100"/>
    </x:row>
    <x:row r="135">
      <x:c r="A135" s="98"/>
      <x:c r="B135" s="98"/>
      <x:c r="F135" s="100"/>
    </x:row>
    <x:row r="136">
      <x:c r="A136" s="98"/>
      <x:c r="B136" s="98"/>
      <x:c r="F136" s="100"/>
    </x:row>
    <x:row r="137">
      <x:c r="A137" s="98"/>
      <x:c r="B137" s="98"/>
      <x:c r="F137" s="100"/>
    </x:row>
    <x:row r="138">
      <x:c r="A138" s="98"/>
      <x:c r="B138" s="98"/>
      <x:c r="F138" s="100"/>
    </x:row>
    <x:row r="139">
      <x:c r="A139" s="98"/>
      <x:c r="B139" s="98"/>
      <x:c r="F139" s="100"/>
    </x:row>
    <x:row r="140">
      <x:c r="A140" s="98"/>
      <x:c r="B140" s="98"/>
      <x:c r="F140" s="100"/>
    </x:row>
    <x:row r="141">
      <x:c r="A141" s="98"/>
      <x:c r="B141" s="98"/>
      <x:c r="F141" s="100"/>
    </x:row>
    <x:row r="142">
      <x:c r="A142" s="98"/>
      <x:c r="B142" s="98"/>
      <x:c r="F142" s="100"/>
    </x:row>
    <x:row r="143">
      <x:c r="A143" s="98"/>
      <x:c r="B143" s="98"/>
      <x:c r="F143" s="100"/>
    </x:row>
    <x:row r="144">
      <x:c r="A144" s="98"/>
      <x:c r="B144" s="98"/>
      <x:c r="F144" s="100"/>
    </x:row>
    <x:row r="145">
      <x:c r="A145" s="98"/>
      <x:c r="B145" s="98"/>
      <x:c r="F145" s="100"/>
    </x:row>
    <x:row r="146">
      <x:c r="A146" s="98"/>
      <x:c r="B146" s="98"/>
      <x:c r="F146" s="100"/>
    </x:row>
    <x:row r="147">
      <x:c r="A147" s="98"/>
      <x:c r="B147" s="98"/>
      <x:c r="F147" s="100"/>
    </x:row>
    <x:row r="148">
      <x:c r="A148" s="98"/>
      <x:c r="B148" s="98"/>
      <x:c r="F148" s="100"/>
    </x:row>
    <x:row r="149">
      <x:c r="A149" s="98"/>
      <x:c r="B149" s="98"/>
      <x:c r="F149" s="100"/>
    </x:row>
    <x:row r="150">
      <x:c r="A150" s="98"/>
      <x:c r="B150" s="98"/>
      <x:c r="F150" s="100"/>
    </x:row>
    <x:row r="151">
      <x:c r="A151" s="98"/>
      <x:c r="B151" s="98"/>
      <x:c r="F151" s="100"/>
    </x:row>
    <x:row r="152">
      <x:c r="A152" s="98"/>
      <x:c r="B152" s="98"/>
      <x:c r="F152" s="100"/>
    </x:row>
    <x:row r="153">
      <x:c r="A153" s="98"/>
      <x:c r="B153" s="98"/>
      <x:c r="F153" s="100"/>
    </x:row>
    <x:row r="154">
      <x:c r="A154" s="98"/>
      <x:c r="B154" s="98"/>
      <x:c r="F154" s="100"/>
    </x:row>
    <x:row r="155">
      <x:c r="A155" s="98"/>
      <x:c r="B155" s="98"/>
      <x:c r="F155" s="100"/>
    </x:row>
    <x:row r="156">
      <x:c r="A156" s="98"/>
      <x:c r="B156" s="98"/>
      <x:c r="F156" s="100"/>
    </x:row>
    <x:row r="157">
      <x:c r="A157" s="98"/>
      <x:c r="B157" s="98"/>
      <x:c r="F157" s="100"/>
    </x:row>
    <x:row r="158">
      <x:c r="A158" s="98"/>
      <x:c r="B158" s="98"/>
      <x:c r="F158" s="100"/>
    </x:row>
    <x:row r="159">
      <x:c r="A159" s="98"/>
      <x:c r="B159" s="98"/>
      <x:c r="F159" s="100"/>
    </x:row>
    <x:row r="160">
      <x:c r="A160" s="98"/>
      <x:c r="B160" s="98"/>
      <x:c r="F160" s="100"/>
    </x:row>
    <x:row r="161">
      <x:c r="A161" s="98"/>
      <x:c r="B161" s="98"/>
      <x:c r="F161" s="100"/>
    </x:row>
    <x:row r="162">
      <x:c r="A162" s="98"/>
      <x:c r="B162" s="98"/>
      <x:c r="F162" s="100"/>
    </x:row>
    <x:row r="163">
      <x:c r="A163" s="98"/>
      <x:c r="B163" s="98"/>
      <x:c r="F163" s="100"/>
    </x:row>
    <x:row r="164">
      <x:c r="A164" s="98"/>
      <x:c r="B164" s="98"/>
      <x:c r="F164" s="100"/>
    </x:row>
    <x:row r="165">
      <x:c r="A165" s="98"/>
      <x:c r="B165" s="98"/>
      <x:c r="F165" s="100"/>
    </x:row>
    <x:row r="166">
      <x:c r="A166" s="98"/>
      <x:c r="B166" s="98"/>
      <x:c r="F166" s="100"/>
    </x:row>
    <x:row r="167">
      <x:c r="A167" s="98"/>
      <x:c r="B167" s="98"/>
      <x:c r="F167" s="100"/>
    </x:row>
    <x:row r="168">
      <x:c r="A168" s="98"/>
      <x:c r="B168" s="98"/>
      <x:c r="F168" s="100"/>
    </x:row>
    <x:row r="169">
      <x:c r="A169" s="98"/>
      <x:c r="B169" s="98"/>
      <x:c r="F169" s="100"/>
    </x:row>
    <x:row r="170">
      <x:c r="A170" s="98"/>
      <x:c r="B170" s="98"/>
      <x:c r="F170" s="100"/>
    </x:row>
    <x:row r="171">
      <x:c r="A171" s="98"/>
      <x:c r="B171" s="98"/>
      <x:c r="F171" s="100"/>
    </x:row>
    <x:row r="172">
      <x:c r="A172" s="98"/>
      <x:c r="B172" s="98"/>
      <x:c r="F172" s="100"/>
    </x:row>
    <x:row r="173">
      <x:c r="A173" s="98"/>
      <x:c r="B173" s="98"/>
      <x:c r="F173" s="100"/>
    </x:row>
    <x:row r="174">
      <x:c r="A174" s="98"/>
      <x:c r="B174" s="98"/>
      <x:c r="F174" s="100"/>
    </x:row>
    <x:row r="175">
      <x:c r="A175" s="98"/>
      <x:c r="B175" s="98"/>
      <x:c r="F175" s="100"/>
    </x:row>
    <x:row r="176">
      <x:c r="A176" s="98"/>
      <x:c r="B176" s="98"/>
      <x:c r="F176" s="100"/>
    </x:row>
    <x:row r="177">
      <x:c r="A177" s="98"/>
      <x:c r="B177" s="98"/>
      <x:c r="F177" s="100"/>
    </x:row>
    <x:row r="178">
      <x:c r="A178" s="98"/>
      <x:c r="B178" s="98"/>
      <x:c r="F178" s="100"/>
    </x:row>
    <x:row r="179">
      <x:c r="A179" s="98"/>
      <x:c r="B179" s="98"/>
      <x:c r="F179" s="100"/>
    </x:row>
    <x:row r="180">
      <x:c r="A180" s="98"/>
      <x:c r="B180" s="98"/>
      <x:c r="F180" s="100"/>
    </x:row>
    <x:row r="181">
      <x:c r="A181" s="98"/>
      <x:c r="B181" s="98"/>
      <x:c r="F181" s="100"/>
    </x:row>
    <x:row r="182">
      <x:c r="A182" s="98"/>
      <x:c r="B182" s="98"/>
      <x:c r="F182" s="100"/>
    </x:row>
    <x:row r="183">
      <x:c r="A183" s="98"/>
      <x:c r="B183" s="98"/>
      <x:c r="F183" s="100"/>
    </x:row>
    <x:row r="184">
      <x:c r="A184" s="98"/>
      <x:c r="B184" s="98"/>
      <x:c r="F184" s="100"/>
    </x:row>
    <x:row r="185">
      <x:c r="A185" s="98"/>
      <x:c r="B185" s="98"/>
      <x:c r="F185" s="100"/>
    </x:row>
    <x:row r="186">
      <x:c r="A186" s="98"/>
      <x:c r="B186" s="98"/>
      <x:c r="F186" s="100"/>
    </x:row>
    <x:row r="187">
      <x:c r="A187" s="98"/>
      <x:c r="B187" s="98"/>
      <x:c r="F187" s="100"/>
    </x:row>
    <x:row r="188">
      <x:c r="A188" s="98"/>
      <x:c r="B188" s="98"/>
      <x:c r="F188" s="100"/>
    </x:row>
    <x:row r="189">
      <x:c r="A189" s="98"/>
      <x:c r="B189" s="98"/>
      <x:c r="F189" s="100"/>
    </x:row>
    <x:row r="190">
      <x:c r="A190" s="98"/>
      <x:c r="B190" s="98"/>
      <x:c r="F190" s="100"/>
    </x:row>
    <x:row r="191">
      <x:c r="A191" s="98"/>
      <x:c r="B191" s="98"/>
      <x:c r="F191" s="100"/>
    </x:row>
    <x:row r="192">
      <x:c r="A192" s="98"/>
      <x:c r="B192" s="98"/>
      <x:c r="F192" s="100"/>
    </x:row>
    <x:row r="193">
      <x:c r="A193" s="98"/>
      <x:c r="B193" s="98"/>
      <x:c r="F193" s="100"/>
    </x:row>
    <x:row r="194">
      <x:c r="A194" s="98"/>
      <x:c r="B194" s="98"/>
      <x:c r="F194" s="100"/>
    </x:row>
    <x:row r="195">
      <x:c r="A195" s="98"/>
      <x:c r="B195" s="98"/>
      <x:c r="F195" s="100"/>
    </x:row>
    <x:row r="196">
      <x:c r="A196" s="98"/>
      <x:c r="B196" s="98"/>
      <x:c r="F196" s="100"/>
    </x:row>
    <x:row r="197">
      <x:c r="A197" s="98"/>
      <x:c r="B197" s="98"/>
      <x:c r="F197" s="100"/>
    </x:row>
    <x:row r="198">
      <x:c r="A198" s="98"/>
      <x:c r="B198" s="98"/>
      <x:c r="F198" s="100"/>
    </x:row>
    <x:row r="199">
      <x:c r="A199" s="98"/>
      <x:c r="B199" s="98"/>
      <x:c r="F199" s="100"/>
    </x:row>
    <x:row r="200">
      <x:c r="A200" s="98"/>
      <x:c r="B200" s="98"/>
      <x:c r="F200" s="100"/>
    </x:row>
  </x:sheetData>
  <x:conditionalFormatting sqref="E2:E200">
    <x:cfRule type="cellIs" dxfId="0" priority="1" operator="equal">
      <x:formula>"approved"</x:formula>
    </x:cfRule>
    <x:cfRule type="cellIs" dxfId="1" priority="2" operator="equal">
      <x:formula>"pending"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E8879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26.25" hidden="0" customWidth="1"/>
    <x:col min="3" max="3" width="26.25" hidden="0" customWidth="1"/>
    <x:col min="4" max="4" width="13.130000114440918" hidden="0" customWidth="1"/>
    <x:col min="5" max="5" width="11.25" hidden="0" customWidth="1"/>
    <x:col min="6" max="6" width="11.25" hidden="0" customWidth="1"/>
    <x:col min="7" max="7" width="11.25" hidden="0" customWidth="1"/>
    <x:col min="8" max="8" width="11.25" hidden="0" customWidth="1"/>
    <x:col min="9" max="9" width="11.25" hidden="0" customWidth="1"/>
    <x:col min="10" max="10" width="32.5" hidden="0" customWidth="1"/>
    <x:col min="11" max="11" width="13.130000114440918" hidden="0" customWidth="1"/>
    <x:col min="12" max="12" width="13.130000114440918" hidden="0" customWidth="1"/>
  </x:cols>
  <x:sheetData>
    <x:row r="1" ht="25.5" customHeight="1">
      <x:c r="A1" s="62" t="str">
        <x:v>Fecha</x:v>
      </x:c>
      <x:c r="B1" s="62" t="str">
        <x:v>Campaña</x:v>
      </x:c>
      <x:c r="C1" s="62" t="str">
        <x:v>Flujo / mensaje</x:v>
      </x:c>
      <x:c r="D1" s="62" t="str">
        <x:v>Canal</x:v>
      </x:c>
      <x:c r="E1" s="62" t="str">
        <x:v>Enviados</x:v>
      </x:c>
      <x:c r="F1" s="62" t="str">
        <x:v>Entregados</x:v>
      </x:c>
      <x:c r="G1" s="62" t="str">
        <x:v>Leídos</x:v>
      </x:c>
      <x:c r="H1" s="62" t="str">
        <x:v>Clics</x:v>
      </x:c>
      <x:c r="I1" s="62" t="str">
        <x:v>Inversión</x:v>
      </x:c>
      <x:c r="J1" s="62" t="str">
        <x:v>Notas</x:v>
      </x:c>
      <x:c r="K1" s="62" t="str">
        <x:v>Tasa lectura</x:v>
      </x:c>
      <x:c r="L1" s="62" t="str">
        <x:v>CTR</x:v>
      </x:c>
    </x:row>
    <x:row r="2">
      <x:c r="A2" s="101"/>
      <x:c r="B2" s="96"/>
      <x:c r="C2" s="96"/>
      <x:c r="D2" s="96"/>
      <x:c r="E2" s="99"/>
      <x:c r="F2" s="99"/>
      <x:c r="G2" s="99"/>
      <x:c r="H2" s="99"/>
      <x:c r="I2" s="99"/>
      <x:c r="J2" s="96"/>
      <x:c r="K2" s="56" t="n">
        <x:f>IFERROR(G2/F2,0)</x:f>
        <x:v>0</x:v>
      </x:c>
      <x:c r="L2" s="56" t="n">
        <x:f>IFERROR(H2/G2,0)</x:f>
        <x:v>0</x:v>
      </x:c>
    </x:row>
    <x:row r="3">
      <x:c r="A3" s="101"/>
      <x:c r="B3" s="96"/>
      <x:c r="C3" s="96"/>
      <x:c r="D3" s="96"/>
      <x:c r="E3" s="99"/>
      <x:c r="F3" s="99"/>
      <x:c r="G3" s="99"/>
      <x:c r="H3" s="99"/>
      <x:c r="I3" s="99"/>
      <x:c r="J3" s="96"/>
      <x:c r="K3" s="56" t="n">
        <x:f>IFERROR(G3/F3,0)</x:f>
        <x:v>0</x:v>
      </x:c>
      <x:c r="L3" s="56" t="n">
        <x:f>IFERROR(H3/G3,0)</x:f>
        <x:v>0</x:v>
      </x:c>
    </x:row>
    <x:row r="4">
      <x:c r="A4" s="101"/>
      <x:c r="B4" s="96"/>
      <x:c r="C4" s="96"/>
      <x:c r="D4" s="96"/>
      <x:c r="E4" s="99"/>
      <x:c r="F4" s="99"/>
      <x:c r="G4" s="99"/>
      <x:c r="H4" s="99"/>
      <x:c r="I4" s="99"/>
      <x:c r="J4" s="96"/>
      <x:c r="K4" s="56" t="n">
        <x:f>IFERROR(G4/F4,0)</x:f>
        <x:v>0</x:v>
      </x:c>
      <x:c r="L4" s="56" t="n">
        <x:f>IFERROR(H4/G4,0)</x:f>
        <x:v>0</x:v>
      </x:c>
    </x:row>
    <x:row r="5">
      <x:c r="A5" s="101"/>
      <x:c r="B5" s="96"/>
      <x:c r="C5" s="96"/>
      <x:c r="D5" s="96"/>
      <x:c r="E5" s="99"/>
      <x:c r="F5" s="99"/>
      <x:c r="G5" s="99"/>
      <x:c r="H5" s="99"/>
      <x:c r="I5" s="99"/>
      <x:c r="J5" s="96"/>
      <x:c r="K5" s="56" t="n">
        <x:f>IFERROR(G5/F5,0)</x:f>
        <x:v>0</x:v>
      </x:c>
      <x:c r="L5" s="56" t="n">
        <x:f>IFERROR(H5/G5,0)</x:f>
        <x:v>0</x:v>
      </x:c>
    </x:row>
    <x:row r="6">
      <x:c r="A6" s="101"/>
      <x:c r="B6" s="96"/>
      <x:c r="C6" s="96"/>
      <x:c r="D6" s="96"/>
      <x:c r="E6" s="99"/>
      <x:c r="F6" s="99"/>
      <x:c r="G6" s="99"/>
      <x:c r="H6" s="99"/>
      <x:c r="I6" s="99"/>
      <x:c r="J6" s="96"/>
      <x:c r="K6" s="56" t="n">
        <x:f>IFERROR(G6/F6,0)</x:f>
        <x:v>0</x:v>
      </x:c>
      <x:c r="L6" s="56" t="n">
        <x:f>IFERROR(H6/G6,0)</x:f>
        <x:v>0</x:v>
      </x:c>
    </x:row>
    <x:row r="7">
      <x:c r="A7" s="101"/>
      <x:c r="B7" s="96"/>
      <x:c r="C7" s="96"/>
      <x:c r="D7" s="96"/>
      <x:c r="E7" s="99"/>
      <x:c r="F7" s="99"/>
      <x:c r="G7" s="99"/>
      <x:c r="H7" s="99"/>
      <x:c r="I7" s="99"/>
      <x:c r="J7" s="96"/>
      <x:c r="K7" s="56" t="n">
        <x:f>IFERROR(G7/F7,0)</x:f>
        <x:v>0</x:v>
      </x:c>
      <x:c r="L7" s="56" t="n">
        <x:f>IFERROR(H7/G7,0)</x:f>
        <x:v>0</x:v>
      </x:c>
    </x:row>
    <x:row r="8">
      <x:c r="A8" s="101"/>
      <x:c r="B8" s="96"/>
      <x:c r="C8" s="96"/>
      <x:c r="D8" s="96"/>
      <x:c r="E8" s="99"/>
      <x:c r="F8" s="99"/>
      <x:c r="G8" s="99"/>
      <x:c r="H8" s="99"/>
      <x:c r="I8" s="99"/>
      <x:c r="J8" s="96"/>
      <x:c r="K8" s="56" t="n">
        <x:f>IFERROR(G8/F8,0)</x:f>
        <x:v>0</x:v>
      </x:c>
      <x:c r="L8" s="56" t="n">
        <x:f>IFERROR(H8/G8,0)</x:f>
        <x:v>0</x:v>
      </x:c>
    </x:row>
    <x:row r="9">
      <x:c r="A9" s="101"/>
      <x:c r="B9" s="96"/>
      <x:c r="C9" s="96"/>
      <x:c r="D9" s="96"/>
      <x:c r="E9" s="99"/>
      <x:c r="F9" s="99"/>
      <x:c r="G9" s="99"/>
      <x:c r="H9" s="99"/>
      <x:c r="I9" s="99"/>
      <x:c r="J9" s="96"/>
      <x:c r="K9" s="56" t="n">
        <x:f>IFERROR(G9/F9,0)</x:f>
        <x:v>0</x:v>
      </x:c>
      <x:c r="L9" s="56" t="n">
        <x:f>IFERROR(H9/G9,0)</x:f>
        <x:v>0</x:v>
      </x:c>
    </x:row>
    <x:row r="10">
      <x:c r="A10" s="101"/>
      <x:c r="B10" s="96"/>
      <x:c r="C10" s="96"/>
      <x:c r="D10" s="96"/>
      <x:c r="E10" s="99"/>
      <x:c r="F10" s="99"/>
      <x:c r="G10" s="99"/>
      <x:c r="H10" s="99"/>
      <x:c r="I10" s="99"/>
      <x:c r="J10" s="96"/>
      <x:c r="K10" s="56" t="n">
        <x:f>IFERROR(G10/F10,0)</x:f>
        <x:v>0</x:v>
      </x:c>
      <x:c r="L10" s="56" t="n">
        <x:f>IFERROR(H10/G10,0)</x:f>
        <x:v>0</x:v>
      </x:c>
    </x:row>
    <x:row r="11">
      <x:c r="A11" s="101"/>
      <x:c r="B11" s="96"/>
      <x:c r="C11" s="96"/>
      <x:c r="D11" s="96"/>
      <x:c r="E11" s="99"/>
      <x:c r="F11" s="99"/>
      <x:c r="G11" s="99"/>
      <x:c r="H11" s="99"/>
      <x:c r="I11" s="99"/>
      <x:c r="J11" s="96"/>
      <x:c r="K11" s="56" t="n">
        <x:f>IFERROR(G11/F11,0)</x:f>
        <x:v>0</x:v>
      </x:c>
      <x:c r="L11" s="56" t="n">
        <x:f>IFERROR(H11/G11,0)</x:f>
        <x:v>0</x:v>
      </x:c>
    </x:row>
    <x:row r="12">
      <x:c r="A12" s="101"/>
      <x:c r="B12" s="96"/>
      <x:c r="C12" s="96"/>
      <x:c r="D12" s="96"/>
      <x:c r="E12" s="99"/>
      <x:c r="F12" s="99"/>
      <x:c r="G12" s="99"/>
      <x:c r="H12" s="99"/>
      <x:c r="I12" s="99"/>
      <x:c r="J12" s="96"/>
      <x:c r="K12" s="56" t="n">
        <x:f>IFERROR(G12/F12,0)</x:f>
        <x:v>0</x:v>
      </x:c>
      <x:c r="L12" s="56" t="n">
        <x:f>IFERROR(H12/G12,0)</x:f>
        <x:v>0</x:v>
      </x:c>
    </x:row>
    <x:row r="13">
      <x:c r="A13" s="101"/>
      <x:c r="B13" s="96"/>
      <x:c r="C13" s="96"/>
      <x:c r="D13" s="96"/>
      <x:c r="E13" s="99"/>
      <x:c r="F13" s="99"/>
      <x:c r="G13" s="99"/>
      <x:c r="H13" s="99"/>
      <x:c r="I13" s="99"/>
      <x:c r="J13" s="96"/>
      <x:c r="K13" s="56" t="n">
        <x:f>IFERROR(G13/F13,0)</x:f>
        <x:v>0</x:v>
      </x:c>
      <x:c r="L13" s="56" t="n">
        <x:f>IFERROR(H13/G13,0)</x:f>
        <x:v>0</x:v>
      </x:c>
    </x:row>
    <x:row r="14">
      <x:c r="A14" s="101"/>
      <x:c r="B14" s="96"/>
      <x:c r="C14" s="96"/>
      <x:c r="D14" s="96"/>
      <x:c r="E14" s="99"/>
      <x:c r="F14" s="99"/>
      <x:c r="G14" s="99"/>
      <x:c r="H14" s="99"/>
      <x:c r="I14" s="99"/>
      <x:c r="J14" s="96"/>
      <x:c r="K14" s="56" t="n">
        <x:f>IFERROR(G14/F14,0)</x:f>
        <x:v>0</x:v>
      </x:c>
      <x:c r="L14" s="56" t="n">
        <x:f>IFERROR(H14/G14,0)</x:f>
        <x:v>0</x:v>
      </x:c>
    </x:row>
    <x:row r="15">
      <x:c r="A15" s="101"/>
      <x:c r="B15" s="96"/>
      <x:c r="C15" s="96"/>
      <x:c r="D15" s="96"/>
      <x:c r="E15" s="99"/>
      <x:c r="F15" s="99"/>
      <x:c r="G15" s="99"/>
      <x:c r="H15" s="99"/>
      <x:c r="I15" s="99"/>
      <x:c r="J15" s="96"/>
      <x:c r="K15" s="56" t="n">
        <x:f>IFERROR(G15/F15,0)</x:f>
        <x:v>0</x:v>
      </x:c>
      <x:c r="L15" s="56" t="n">
        <x:f>IFERROR(H15/G15,0)</x:f>
        <x:v>0</x:v>
      </x:c>
    </x:row>
    <x:row r="16">
      <x:c r="A16" s="101"/>
      <x:c r="B16" s="96"/>
      <x:c r="C16" s="96"/>
      <x:c r="D16" s="96"/>
      <x:c r="E16" s="99"/>
      <x:c r="F16" s="99"/>
      <x:c r="G16" s="99"/>
      <x:c r="H16" s="99"/>
      <x:c r="I16" s="99"/>
      <x:c r="J16" s="96"/>
      <x:c r="K16" s="56" t="n">
        <x:f>IFERROR(G16/F16,0)</x:f>
        <x:v>0</x:v>
      </x:c>
      <x:c r="L16" s="56" t="n">
        <x:f>IFERROR(H16/G16,0)</x:f>
        <x:v>0</x:v>
      </x:c>
    </x:row>
    <x:row r="17">
      <x:c r="A17" s="101"/>
      <x:c r="B17" s="96"/>
      <x:c r="C17" s="96"/>
      <x:c r="D17" s="96"/>
      <x:c r="E17" s="99"/>
      <x:c r="F17" s="99"/>
      <x:c r="G17" s="99"/>
      <x:c r="H17" s="99"/>
      <x:c r="I17" s="99"/>
      <x:c r="J17" s="96"/>
      <x:c r="K17" s="56" t="n">
        <x:f>IFERROR(G17/F17,0)</x:f>
        <x:v>0</x:v>
      </x:c>
      <x:c r="L17" s="56" t="n">
        <x:f>IFERROR(H17/G17,0)</x:f>
        <x:v>0</x:v>
      </x:c>
    </x:row>
    <x:row r="18">
      <x:c r="A18" s="101"/>
      <x:c r="B18" s="96"/>
      <x:c r="C18" s="96"/>
      <x:c r="D18" s="96"/>
      <x:c r="E18" s="99"/>
      <x:c r="F18" s="99"/>
      <x:c r="G18" s="99"/>
      <x:c r="H18" s="99"/>
      <x:c r="I18" s="99"/>
      <x:c r="J18" s="96"/>
      <x:c r="K18" s="56" t="n">
        <x:f>IFERROR(G18/F18,0)</x:f>
        <x:v>0</x:v>
      </x:c>
      <x:c r="L18" s="56" t="n">
        <x:f>IFERROR(H18/G18,0)</x:f>
        <x:v>0</x:v>
      </x:c>
    </x:row>
    <x:row r="19">
      <x:c r="A19" s="101"/>
      <x:c r="B19" s="96"/>
      <x:c r="C19" s="96"/>
      <x:c r="D19" s="96"/>
      <x:c r="E19" s="99"/>
      <x:c r="F19" s="99"/>
      <x:c r="G19" s="99"/>
      <x:c r="H19" s="99"/>
      <x:c r="I19" s="99"/>
      <x:c r="J19" s="96"/>
      <x:c r="K19" s="56" t="n">
        <x:f>IFERROR(G19/F19,0)</x:f>
        <x:v>0</x:v>
      </x:c>
      <x:c r="L19" s="56" t="n">
        <x:f>IFERROR(H19/G19,0)</x:f>
        <x:v>0</x:v>
      </x:c>
    </x:row>
    <x:row r="20">
      <x:c r="A20" s="101"/>
      <x:c r="B20" s="96"/>
      <x:c r="C20" s="96"/>
      <x:c r="D20" s="96"/>
      <x:c r="E20" s="99"/>
      <x:c r="F20" s="99"/>
      <x:c r="G20" s="99"/>
      <x:c r="H20" s="99"/>
      <x:c r="I20" s="99"/>
      <x:c r="J20" s="96"/>
      <x:c r="K20" s="56" t="n">
        <x:f>IFERROR(G20/F20,0)</x:f>
        <x:v>0</x:v>
      </x:c>
      <x:c r="L20" s="56" t="n">
        <x:f>IFERROR(H20/G20,0)</x:f>
        <x:v>0</x:v>
      </x:c>
    </x:row>
    <x:row r="21">
      <x:c r="A21" s="101"/>
      <x:c r="B21" s="96"/>
      <x:c r="C21" s="96"/>
      <x:c r="D21" s="96"/>
      <x:c r="E21" s="99"/>
      <x:c r="F21" s="99"/>
      <x:c r="G21" s="99"/>
      <x:c r="H21" s="99"/>
      <x:c r="I21" s="99"/>
      <x:c r="J21" s="96"/>
      <x:c r="K21" s="56" t="n">
        <x:f>IFERROR(G21/F21,0)</x:f>
        <x:v>0</x:v>
      </x:c>
      <x:c r="L21" s="56" t="n">
        <x:f>IFERROR(H21/G21,0)</x:f>
        <x:v>0</x:v>
      </x:c>
    </x:row>
    <x:row r="22">
      <x:c r="A22" s="101"/>
      <x:c r="B22" s="96"/>
      <x:c r="C22" s="96"/>
      <x:c r="D22" s="96"/>
      <x:c r="E22" s="99"/>
      <x:c r="F22" s="99"/>
      <x:c r="G22" s="99"/>
      <x:c r="H22" s="99"/>
      <x:c r="I22" s="99"/>
      <x:c r="J22" s="96"/>
      <x:c r="K22" s="56" t="n">
        <x:f>IFERROR(G22/F22,0)</x:f>
        <x:v>0</x:v>
      </x:c>
      <x:c r="L22" s="56" t="n">
        <x:f>IFERROR(H22/G22,0)</x:f>
        <x:v>0</x:v>
      </x:c>
    </x:row>
    <x:row r="23">
      <x:c r="A23" s="101"/>
      <x:c r="B23" s="96"/>
      <x:c r="C23" s="96"/>
      <x:c r="D23" s="96"/>
      <x:c r="E23" s="99"/>
      <x:c r="F23" s="99"/>
      <x:c r="G23" s="99"/>
      <x:c r="H23" s="99"/>
      <x:c r="I23" s="99"/>
      <x:c r="J23" s="96"/>
      <x:c r="K23" s="56" t="n">
        <x:f>IFERROR(G23/F23,0)</x:f>
        <x:v>0</x:v>
      </x:c>
      <x:c r="L23" s="56" t="n">
        <x:f>IFERROR(H23/G23,0)</x:f>
        <x:v>0</x:v>
      </x:c>
    </x:row>
    <x:row r="24">
      <x:c r="A24" s="101"/>
      <x:c r="B24" s="96"/>
      <x:c r="C24" s="96"/>
      <x:c r="D24" s="96"/>
      <x:c r="E24" s="99"/>
      <x:c r="F24" s="99"/>
      <x:c r="G24" s="99"/>
      <x:c r="H24" s="99"/>
      <x:c r="I24" s="99"/>
      <x:c r="J24" s="96"/>
      <x:c r="K24" s="56" t="n">
        <x:f>IFERROR(G24/F24,0)</x:f>
        <x:v>0</x:v>
      </x:c>
      <x:c r="L24" s="56" t="n">
        <x:f>IFERROR(H24/G24,0)</x:f>
        <x:v>0</x:v>
      </x:c>
    </x:row>
    <x:row r="25">
      <x:c r="A25" s="101"/>
      <x:c r="B25" s="96"/>
      <x:c r="C25" s="96"/>
      <x:c r="D25" s="96"/>
      <x:c r="E25" s="99"/>
      <x:c r="F25" s="99"/>
      <x:c r="G25" s="99"/>
      <x:c r="H25" s="99"/>
      <x:c r="I25" s="99"/>
      <x:c r="J25" s="96"/>
      <x:c r="K25" s="56" t="n">
        <x:f>IFERROR(G25/F25,0)</x:f>
        <x:v>0</x:v>
      </x:c>
      <x:c r="L25" s="56" t="n">
        <x:f>IFERROR(H25/G25,0)</x:f>
        <x:v>0</x:v>
      </x:c>
    </x:row>
    <x:row r="26">
      <x:c r="A26" s="101"/>
      <x:c r="B26" s="96"/>
      <x:c r="C26" s="96"/>
      <x:c r="D26" s="96"/>
      <x:c r="E26" s="99"/>
      <x:c r="F26" s="99"/>
      <x:c r="G26" s="99"/>
      <x:c r="H26" s="99"/>
      <x:c r="I26" s="99"/>
      <x:c r="J26" s="96"/>
      <x:c r="K26" s="56" t="n">
        <x:f>IFERROR(G26/F26,0)</x:f>
        <x:v>0</x:v>
      </x:c>
      <x:c r="L26" s="56" t="n">
        <x:f>IFERROR(H26/G26,0)</x:f>
        <x:v>0</x:v>
      </x:c>
    </x:row>
    <x:row r="27">
      <x:c r="A27" s="101"/>
      <x:c r="B27" s="96"/>
      <x:c r="C27" s="96"/>
      <x:c r="D27" s="96"/>
      <x:c r="E27" s="99"/>
      <x:c r="F27" s="99"/>
      <x:c r="G27" s="99"/>
      <x:c r="H27" s="99"/>
      <x:c r="I27" s="99"/>
      <x:c r="J27" s="96"/>
      <x:c r="K27" s="56" t="n">
        <x:f>IFERROR(G27/F27,0)</x:f>
        <x:v>0</x:v>
      </x:c>
      <x:c r="L27" s="56" t="n">
        <x:f>IFERROR(H27/G27,0)</x:f>
        <x:v>0</x:v>
      </x:c>
    </x:row>
    <x:row r="28">
      <x:c r="A28" s="101"/>
      <x:c r="B28" s="96"/>
      <x:c r="C28" s="96"/>
      <x:c r="D28" s="96"/>
      <x:c r="E28" s="99"/>
      <x:c r="F28" s="99"/>
      <x:c r="G28" s="99"/>
      <x:c r="H28" s="99"/>
      <x:c r="I28" s="99"/>
      <x:c r="J28" s="96"/>
      <x:c r="K28" s="56" t="n">
        <x:f>IFERROR(G28/F28,0)</x:f>
        <x:v>0</x:v>
      </x:c>
      <x:c r="L28" s="56" t="n">
        <x:f>IFERROR(H28/G28,0)</x:f>
        <x:v>0</x:v>
      </x:c>
    </x:row>
    <x:row r="29">
      <x:c r="A29" s="101"/>
      <x:c r="B29" s="96"/>
      <x:c r="C29" s="96"/>
      <x:c r="D29" s="96"/>
      <x:c r="E29" s="99"/>
      <x:c r="F29" s="99"/>
      <x:c r="G29" s="99"/>
      <x:c r="H29" s="99"/>
      <x:c r="I29" s="99"/>
      <x:c r="J29" s="96"/>
      <x:c r="K29" s="56" t="n">
        <x:f>IFERROR(G29/F29,0)</x:f>
        <x:v>0</x:v>
      </x:c>
      <x:c r="L29" s="56" t="n">
        <x:f>IFERROR(H29/G29,0)</x:f>
        <x:v>0</x:v>
      </x:c>
    </x:row>
    <x:row r="30">
      <x:c r="A30" s="101"/>
      <x:c r="B30" s="96"/>
      <x:c r="C30" s="96"/>
      <x:c r="D30" s="96"/>
      <x:c r="E30" s="99"/>
      <x:c r="F30" s="99"/>
      <x:c r="G30" s="99"/>
      <x:c r="H30" s="99"/>
      <x:c r="I30" s="99"/>
      <x:c r="J30" s="96"/>
      <x:c r="K30" s="56" t="n">
        <x:f>IFERROR(G30/F30,0)</x:f>
        <x:v>0</x:v>
      </x:c>
      <x:c r="L30" s="56" t="n">
        <x:f>IFERROR(H30/G30,0)</x:f>
        <x:v>0</x:v>
      </x:c>
    </x:row>
    <x:row r="31">
      <x:c r="A31" s="101"/>
      <x:c r="B31" s="96"/>
      <x:c r="C31" s="96"/>
      <x:c r="D31" s="96"/>
      <x:c r="E31" s="99"/>
      <x:c r="F31" s="99"/>
      <x:c r="G31" s="99"/>
      <x:c r="H31" s="99"/>
      <x:c r="I31" s="99"/>
      <x:c r="J31" s="96"/>
      <x:c r="K31" s="56" t="n">
        <x:f>IFERROR(G31/F31,0)</x:f>
        <x:v>0</x:v>
      </x:c>
      <x:c r="L31" s="56" t="n">
        <x:f>IFERROR(H31/G31,0)</x:f>
        <x:v>0</x:v>
      </x:c>
    </x:row>
    <x:row r="32">
      <x:c r="A32" s="101"/>
      <x:c r="B32" s="96"/>
      <x:c r="C32" s="96"/>
      <x:c r="D32" s="96"/>
      <x:c r="E32" s="99"/>
      <x:c r="F32" s="99"/>
      <x:c r="G32" s="99"/>
      <x:c r="H32" s="99"/>
      <x:c r="I32" s="99"/>
      <x:c r="J32" s="96"/>
      <x:c r="K32" s="56" t="n">
        <x:f>IFERROR(G32/F32,0)</x:f>
        <x:v>0</x:v>
      </x:c>
      <x:c r="L32" s="56" t="n">
        <x:f>IFERROR(H32/G32,0)</x:f>
        <x:v>0</x:v>
      </x:c>
    </x:row>
    <x:row r="33">
      <x:c r="A33" s="101"/>
      <x:c r="B33" s="96"/>
      <x:c r="C33" s="96"/>
      <x:c r="D33" s="96"/>
      <x:c r="E33" s="99"/>
      <x:c r="F33" s="99"/>
      <x:c r="G33" s="99"/>
      <x:c r="H33" s="99"/>
      <x:c r="I33" s="99"/>
      <x:c r="J33" s="96"/>
      <x:c r="K33" s="56" t="n">
        <x:f>IFERROR(G33/F33,0)</x:f>
        <x:v>0</x:v>
      </x:c>
      <x:c r="L33" s="56" t="n">
        <x:f>IFERROR(H33/G33,0)</x:f>
        <x:v>0</x:v>
      </x:c>
    </x:row>
    <x:row r="34">
      <x:c r="A34" s="101"/>
      <x:c r="B34" s="96"/>
      <x:c r="C34" s="96"/>
      <x:c r="D34" s="96"/>
      <x:c r="E34" s="99"/>
      <x:c r="F34" s="99"/>
      <x:c r="G34" s="99"/>
      <x:c r="H34" s="99"/>
      <x:c r="I34" s="99"/>
      <x:c r="J34" s="96"/>
      <x:c r="K34" s="56" t="n">
        <x:f>IFERROR(G34/F34,0)</x:f>
        <x:v>0</x:v>
      </x:c>
      <x:c r="L34" s="56" t="n">
        <x:f>IFERROR(H34/G34,0)</x:f>
        <x:v>0</x:v>
      </x:c>
    </x:row>
    <x:row r="35">
      <x:c r="A35" s="101"/>
      <x:c r="B35" s="96"/>
      <x:c r="C35" s="96"/>
      <x:c r="D35" s="96"/>
      <x:c r="E35" s="99"/>
      <x:c r="F35" s="99"/>
      <x:c r="G35" s="99"/>
      <x:c r="H35" s="99"/>
      <x:c r="I35" s="99"/>
      <x:c r="J35" s="96"/>
      <x:c r="K35" s="56" t="n">
        <x:f>IFERROR(G35/F35,0)</x:f>
        <x:v>0</x:v>
      </x:c>
      <x:c r="L35" s="56" t="n">
        <x:f>IFERROR(H35/G35,0)</x:f>
        <x:v>0</x:v>
      </x:c>
    </x:row>
    <x:row r="36">
      <x:c r="A36" s="101"/>
      <x:c r="B36" s="96"/>
      <x:c r="C36" s="96"/>
      <x:c r="D36" s="96"/>
      <x:c r="E36" s="99"/>
      <x:c r="F36" s="99"/>
      <x:c r="G36" s="99"/>
      <x:c r="H36" s="99"/>
      <x:c r="I36" s="99"/>
      <x:c r="J36" s="96"/>
      <x:c r="K36" s="56" t="n">
        <x:f>IFERROR(G36/F36,0)</x:f>
        <x:v>0</x:v>
      </x:c>
      <x:c r="L36" s="56" t="n">
        <x:f>IFERROR(H36/G36,0)</x:f>
        <x:v>0</x:v>
      </x:c>
    </x:row>
    <x:row r="37">
      <x:c r="A37" s="101"/>
      <x:c r="B37" s="96"/>
      <x:c r="C37" s="96"/>
      <x:c r="D37" s="96"/>
      <x:c r="E37" s="99"/>
      <x:c r="F37" s="99"/>
      <x:c r="G37" s="99"/>
      <x:c r="H37" s="99"/>
      <x:c r="I37" s="99"/>
      <x:c r="J37" s="96"/>
      <x:c r="K37" s="56" t="n">
        <x:f>IFERROR(G37/F37,0)</x:f>
        <x:v>0</x:v>
      </x:c>
      <x:c r="L37" s="56" t="n">
        <x:f>IFERROR(H37/G37,0)</x:f>
        <x:v>0</x:v>
      </x:c>
    </x:row>
    <x:row r="38">
      <x:c r="A38" s="101"/>
      <x:c r="B38" s="96"/>
      <x:c r="C38" s="96"/>
      <x:c r="D38" s="96"/>
      <x:c r="E38" s="99"/>
      <x:c r="F38" s="99"/>
      <x:c r="G38" s="99"/>
      <x:c r="H38" s="99"/>
      <x:c r="I38" s="99"/>
      <x:c r="J38" s="96"/>
      <x:c r="K38" s="56" t="n">
        <x:f>IFERROR(G38/F38,0)</x:f>
        <x:v>0</x:v>
      </x:c>
      <x:c r="L38" s="56" t="n">
        <x:f>IFERROR(H38/G38,0)</x:f>
        <x:v>0</x:v>
      </x:c>
    </x:row>
    <x:row r="39">
      <x:c r="A39" s="101"/>
      <x:c r="B39" s="96"/>
      <x:c r="C39" s="96"/>
      <x:c r="D39" s="96"/>
      <x:c r="E39" s="99"/>
      <x:c r="F39" s="99"/>
      <x:c r="G39" s="99"/>
      <x:c r="H39" s="99"/>
      <x:c r="I39" s="99"/>
      <x:c r="J39" s="96"/>
      <x:c r="K39" s="56" t="n">
        <x:f>IFERROR(G39/F39,0)</x:f>
        <x:v>0</x:v>
      </x:c>
      <x:c r="L39" s="56" t="n">
        <x:f>IFERROR(H39/G39,0)</x:f>
        <x:v>0</x:v>
      </x:c>
    </x:row>
    <x:row r="40">
      <x:c r="A40" s="101"/>
      <x:c r="B40" s="96"/>
      <x:c r="C40" s="96"/>
      <x:c r="D40" s="96"/>
      <x:c r="E40" s="99"/>
      <x:c r="F40" s="99"/>
      <x:c r="G40" s="99"/>
      <x:c r="H40" s="99"/>
      <x:c r="I40" s="99"/>
      <x:c r="J40" s="96"/>
      <x:c r="K40" s="56" t="n">
        <x:f>IFERROR(G40/F40,0)</x:f>
        <x:v>0</x:v>
      </x:c>
      <x:c r="L40" s="56" t="n">
        <x:f>IFERROR(H40/G40,0)</x:f>
        <x:v>0</x:v>
      </x:c>
    </x:row>
    <x:row r="41">
      <x:c r="A41" s="63"/>
      <x:c r="E41" s="100"/>
      <x:c r="F41" s="100"/>
      <x:c r="G41" s="100"/>
      <x:c r="H41" s="100"/>
      <x:c r="I41" s="100"/>
      <x:c r="K41" s="56" t="n">
        <x:f>IFERROR(G41/F41,0)</x:f>
        <x:v>0</x:v>
      </x:c>
      <x:c r="L41" s="56" t="n">
        <x:f>IFERROR(H41/G41,0)</x:f>
        <x:v>0</x:v>
      </x:c>
    </x:row>
    <x:row r="42">
      <x:c r="A42" s="63"/>
      <x:c r="E42" s="100"/>
      <x:c r="F42" s="100"/>
      <x:c r="G42" s="100"/>
      <x:c r="H42" s="100"/>
      <x:c r="I42" s="100"/>
      <x:c r="K42" s="56" t="n">
        <x:f>IFERROR(G42/F42,0)</x:f>
        <x:v>0</x:v>
      </x:c>
      <x:c r="L42" s="56" t="n">
        <x:f>IFERROR(H42/G42,0)</x:f>
        <x:v>0</x:v>
      </x:c>
    </x:row>
    <x:row r="43">
      <x:c r="A43" s="63"/>
      <x:c r="E43" s="100"/>
      <x:c r="F43" s="100"/>
      <x:c r="G43" s="100"/>
      <x:c r="H43" s="100"/>
      <x:c r="I43" s="100"/>
      <x:c r="K43" s="56" t="n">
        <x:f>IFERROR(G43/F43,0)</x:f>
        <x:v>0</x:v>
      </x:c>
      <x:c r="L43" s="56" t="n">
        <x:f>IFERROR(H43/G43,0)</x:f>
        <x:v>0</x:v>
      </x:c>
    </x:row>
    <x:row r="44">
      <x:c r="A44" s="63"/>
      <x:c r="E44" s="100"/>
      <x:c r="F44" s="100"/>
      <x:c r="G44" s="100"/>
      <x:c r="H44" s="100"/>
      <x:c r="I44" s="100"/>
      <x:c r="K44" s="56" t="n">
        <x:f>IFERROR(G44/F44,0)</x:f>
        <x:v>0</x:v>
      </x:c>
      <x:c r="L44" s="56" t="n">
        <x:f>IFERROR(H44/G44,0)</x:f>
        <x:v>0</x:v>
      </x:c>
    </x:row>
    <x:row r="45">
      <x:c r="A45" s="63"/>
      <x:c r="E45" s="100"/>
      <x:c r="F45" s="100"/>
      <x:c r="G45" s="100"/>
      <x:c r="H45" s="100"/>
      <x:c r="I45" s="100"/>
      <x:c r="K45" s="56" t="n">
        <x:f>IFERROR(G45/F45,0)</x:f>
        <x:v>0</x:v>
      </x:c>
      <x:c r="L45" s="56" t="n">
        <x:f>IFERROR(H45/G45,0)</x:f>
        <x:v>0</x:v>
      </x:c>
    </x:row>
    <x:row r="46">
      <x:c r="A46" s="63"/>
      <x:c r="E46" s="100"/>
      <x:c r="F46" s="100"/>
      <x:c r="G46" s="100"/>
      <x:c r="H46" s="100"/>
      <x:c r="I46" s="100"/>
      <x:c r="K46" s="56" t="n">
        <x:f>IFERROR(G46/F46,0)</x:f>
        <x:v>0</x:v>
      </x:c>
      <x:c r="L46" s="56" t="n">
        <x:f>IFERROR(H46/G46,0)</x:f>
        <x:v>0</x:v>
      </x:c>
    </x:row>
    <x:row r="47">
      <x:c r="A47" s="63"/>
      <x:c r="E47" s="100"/>
      <x:c r="F47" s="100"/>
      <x:c r="G47" s="100"/>
      <x:c r="H47" s="100"/>
      <x:c r="I47" s="100"/>
      <x:c r="K47" s="56" t="n">
        <x:f>IFERROR(G47/F47,0)</x:f>
        <x:v>0</x:v>
      </x:c>
      <x:c r="L47" s="56" t="n">
        <x:f>IFERROR(H47/G47,0)</x:f>
        <x:v>0</x:v>
      </x:c>
    </x:row>
    <x:row r="48">
      <x:c r="A48" s="63"/>
      <x:c r="E48" s="100"/>
      <x:c r="F48" s="100"/>
      <x:c r="G48" s="100"/>
      <x:c r="H48" s="100"/>
      <x:c r="I48" s="100"/>
      <x:c r="K48" s="56" t="n">
        <x:f>IFERROR(G48/F48,0)</x:f>
        <x:v>0</x:v>
      </x:c>
      <x:c r="L48" s="56" t="n">
        <x:f>IFERROR(H48/G48,0)</x:f>
        <x:v>0</x:v>
      </x:c>
    </x:row>
    <x:row r="49">
      <x:c r="A49" s="63"/>
      <x:c r="E49" s="100"/>
      <x:c r="F49" s="100"/>
      <x:c r="G49" s="100"/>
      <x:c r="H49" s="100"/>
      <x:c r="I49" s="100"/>
      <x:c r="K49" s="56" t="n">
        <x:f>IFERROR(G49/F49,0)</x:f>
        <x:v>0</x:v>
      </x:c>
      <x:c r="L49" s="56" t="n">
        <x:f>IFERROR(H49/G49,0)</x:f>
        <x:v>0</x:v>
      </x:c>
    </x:row>
    <x:row r="50">
      <x:c r="A50" s="63"/>
      <x:c r="E50" s="100"/>
      <x:c r="F50" s="100"/>
      <x:c r="G50" s="100"/>
      <x:c r="H50" s="100"/>
      <x:c r="I50" s="100"/>
      <x:c r="K50" s="56" t="n">
        <x:f>IFERROR(G50/F50,0)</x:f>
        <x:v>0</x:v>
      </x:c>
      <x:c r="L50" s="56" t="n">
        <x:f>IFERROR(H50/G50,0)</x:f>
        <x:v>0</x:v>
      </x:c>
    </x:row>
    <x:row r="51">
      <x:c r="A51" s="63"/>
      <x:c r="E51" s="100"/>
      <x:c r="F51" s="100"/>
      <x:c r="G51" s="100"/>
      <x:c r="H51" s="100"/>
      <x:c r="I51" s="100"/>
      <x:c r="K51" s="56" t="n">
        <x:f>IFERROR(G51/F51,0)</x:f>
        <x:v>0</x:v>
      </x:c>
      <x:c r="L51" s="56" t="n">
        <x:f>IFERROR(H51/G51,0)</x:f>
        <x:v>0</x:v>
      </x:c>
    </x:row>
    <x:row r="52">
      <x:c r="A52" s="63"/>
      <x:c r="E52" s="100"/>
      <x:c r="F52" s="100"/>
      <x:c r="G52" s="100"/>
      <x:c r="H52" s="100"/>
      <x:c r="I52" s="100"/>
      <x:c r="K52" s="56" t="n">
        <x:f>IFERROR(G52/F52,0)</x:f>
        <x:v>0</x:v>
      </x:c>
      <x:c r="L52" s="56" t="n">
        <x:f>IFERROR(H52/G52,0)</x:f>
        <x:v>0</x:v>
      </x:c>
    </x:row>
    <x:row r="53">
      <x:c r="A53" s="63"/>
      <x:c r="E53" s="100"/>
      <x:c r="F53" s="100"/>
      <x:c r="G53" s="100"/>
      <x:c r="H53" s="100"/>
      <x:c r="I53" s="100"/>
      <x:c r="K53" s="56" t="n">
        <x:f>IFERROR(G53/F53,0)</x:f>
        <x:v>0</x:v>
      </x:c>
      <x:c r="L53" s="56" t="n">
        <x:f>IFERROR(H53/G53,0)</x:f>
        <x:v>0</x:v>
      </x:c>
    </x:row>
    <x:row r="54">
      <x:c r="A54" s="63"/>
      <x:c r="E54" s="100"/>
      <x:c r="F54" s="100"/>
      <x:c r="G54" s="100"/>
      <x:c r="H54" s="100"/>
      <x:c r="I54" s="100"/>
      <x:c r="K54" s="56" t="n">
        <x:f>IFERROR(G54/F54,0)</x:f>
        <x:v>0</x:v>
      </x:c>
      <x:c r="L54" s="56" t="n">
        <x:f>IFERROR(H54/G54,0)</x:f>
        <x:v>0</x:v>
      </x:c>
    </x:row>
    <x:row r="55">
      <x:c r="A55" s="63"/>
      <x:c r="E55" s="100"/>
      <x:c r="F55" s="100"/>
      <x:c r="G55" s="100"/>
      <x:c r="H55" s="100"/>
      <x:c r="I55" s="100"/>
      <x:c r="K55" s="56" t="n">
        <x:f>IFERROR(G55/F55,0)</x:f>
        <x:v>0</x:v>
      </x:c>
      <x:c r="L55" s="56" t="n">
        <x:f>IFERROR(H55/G55,0)</x:f>
        <x:v>0</x:v>
      </x:c>
    </x:row>
    <x:row r="56">
      <x:c r="A56" s="63"/>
      <x:c r="E56" s="100"/>
      <x:c r="F56" s="100"/>
      <x:c r="G56" s="100"/>
      <x:c r="H56" s="100"/>
      <x:c r="I56" s="100"/>
      <x:c r="K56" s="56" t="n">
        <x:f>IFERROR(G56/F56,0)</x:f>
        <x:v>0</x:v>
      </x:c>
      <x:c r="L56" s="56" t="n">
        <x:f>IFERROR(H56/G56,0)</x:f>
        <x:v>0</x:v>
      </x:c>
    </x:row>
    <x:row r="57">
      <x:c r="A57" s="63"/>
      <x:c r="E57" s="100"/>
      <x:c r="F57" s="100"/>
      <x:c r="G57" s="100"/>
      <x:c r="H57" s="100"/>
      <x:c r="I57" s="100"/>
      <x:c r="K57" s="56" t="n">
        <x:f>IFERROR(G57/F57,0)</x:f>
        <x:v>0</x:v>
      </x:c>
      <x:c r="L57" s="56" t="n">
        <x:f>IFERROR(H57/G57,0)</x:f>
        <x:v>0</x:v>
      </x:c>
    </x:row>
    <x:row r="58">
      <x:c r="A58" s="63"/>
      <x:c r="E58" s="100"/>
      <x:c r="F58" s="100"/>
      <x:c r="G58" s="100"/>
      <x:c r="H58" s="100"/>
      <x:c r="I58" s="100"/>
      <x:c r="K58" s="56" t="n">
        <x:f>IFERROR(G58/F58,0)</x:f>
        <x:v>0</x:v>
      </x:c>
      <x:c r="L58" s="56" t="n">
        <x:f>IFERROR(H58/G58,0)</x:f>
        <x:v>0</x:v>
      </x:c>
    </x:row>
    <x:row r="59">
      <x:c r="A59" s="63"/>
      <x:c r="E59" s="100"/>
      <x:c r="F59" s="100"/>
      <x:c r="G59" s="100"/>
      <x:c r="H59" s="100"/>
      <x:c r="I59" s="100"/>
      <x:c r="K59" s="56" t="n">
        <x:f>IFERROR(G59/F59,0)</x:f>
        <x:v>0</x:v>
      </x:c>
      <x:c r="L59" s="56" t="n">
        <x:f>IFERROR(H59/G59,0)</x:f>
        <x:v>0</x:v>
      </x:c>
    </x:row>
    <x:row r="60">
      <x:c r="A60" s="63"/>
      <x:c r="E60" s="100"/>
      <x:c r="F60" s="100"/>
      <x:c r="G60" s="100"/>
      <x:c r="H60" s="100"/>
      <x:c r="I60" s="100"/>
      <x:c r="K60" s="56" t="n">
        <x:f>IFERROR(G60/F60,0)</x:f>
        <x:v>0</x:v>
      </x:c>
      <x:c r="L60" s="56" t="n">
        <x:f>IFERROR(H60/G60,0)</x:f>
        <x:v>0</x:v>
      </x:c>
    </x:row>
    <x:row r="61">
      <x:c r="A61" s="63"/>
      <x:c r="E61" s="100"/>
      <x:c r="F61" s="100"/>
      <x:c r="G61" s="100"/>
      <x:c r="H61" s="100"/>
      <x:c r="I61" s="100"/>
      <x:c r="K61" s="56" t="n">
        <x:f>IFERROR(G61/F61,0)</x:f>
        <x:v>0</x:v>
      </x:c>
      <x:c r="L61" s="56" t="n">
        <x:f>IFERROR(H61/G61,0)</x:f>
        <x:v>0</x:v>
      </x:c>
    </x:row>
    <x:row r="62">
      <x:c r="A62" s="63"/>
      <x:c r="E62" s="100"/>
      <x:c r="F62" s="100"/>
      <x:c r="G62" s="100"/>
      <x:c r="H62" s="100"/>
      <x:c r="I62" s="100"/>
      <x:c r="K62" s="56" t="n">
        <x:f>IFERROR(G62/F62,0)</x:f>
        <x:v>0</x:v>
      </x:c>
      <x:c r="L62" s="56" t="n">
        <x:f>IFERROR(H62/G62,0)</x:f>
        <x:v>0</x:v>
      </x:c>
    </x:row>
    <x:row r="63">
      <x:c r="A63" s="63"/>
      <x:c r="E63" s="100"/>
      <x:c r="F63" s="100"/>
      <x:c r="G63" s="100"/>
      <x:c r="H63" s="100"/>
      <x:c r="I63" s="100"/>
      <x:c r="K63" s="56" t="n">
        <x:f>IFERROR(G63/F63,0)</x:f>
        <x:v>0</x:v>
      </x:c>
      <x:c r="L63" s="56" t="n">
        <x:f>IFERROR(H63/G63,0)</x:f>
        <x:v>0</x:v>
      </x:c>
    </x:row>
    <x:row r="64">
      <x:c r="A64" s="63"/>
      <x:c r="E64" s="100"/>
      <x:c r="F64" s="100"/>
      <x:c r="G64" s="100"/>
      <x:c r="H64" s="100"/>
      <x:c r="I64" s="100"/>
      <x:c r="K64" s="56" t="n">
        <x:f>IFERROR(G64/F64,0)</x:f>
        <x:v>0</x:v>
      </x:c>
      <x:c r="L64" s="56" t="n">
        <x:f>IFERROR(H64/G64,0)</x:f>
        <x:v>0</x:v>
      </x:c>
    </x:row>
    <x:row r="65">
      <x:c r="A65" s="63"/>
      <x:c r="E65" s="100"/>
      <x:c r="F65" s="100"/>
      <x:c r="G65" s="100"/>
      <x:c r="H65" s="100"/>
      <x:c r="I65" s="100"/>
      <x:c r="K65" s="56" t="n">
        <x:f>IFERROR(G65/F65,0)</x:f>
        <x:v>0</x:v>
      </x:c>
      <x:c r="L65" s="56" t="n">
        <x:f>IFERROR(H65/G65,0)</x:f>
        <x:v>0</x:v>
      </x:c>
    </x:row>
    <x:row r="66">
      <x:c r="A66" s="63"/>
      <x:c r="E66" s="100"/>
      <x:c r="F66" s="100"/>
      <x:c r="G66" s="100"/>
      <x:c r="H66" s="100"/>
      <x:c r="I66" s="100"/>
      <x:c r="K66" s="56" t="n">
        <x:f>IFERROR(G66/F66,0)</x:f>
        <x:v>0</x:v>
      </x:c>
      <x:c r="L66" s="56" t="n">
        <x:f>IFERROR(H66/G66,0)</x:f>
        <x:v>0</x:v>
      </x:c>
    </x:row>
    <x:row r="67">
      <x:c r="A67" s="63"/>
      <x:c r="E67" s="100"/>
      <x:c r="F67" s="100"/>
      <x:c r="G67" s="100"/>
      <x:c r="H67" s="100"/>
      <x:c r="I67" s="100"/>
      <x:c r="K67" s="56" t="n">
        <x:f>IFERROR(G67/F67,0)</x:f>
        <x:v>0</x:v>
      </x:c>
      <x:c r="L67" s="56" t="n">
        <x:f>IFERROR(H67/G67,0)</x:f>
        <x:v>0</x:v>
      </x:c>
    </x:row>
    <x:row r="68">
      <x:c r="A68" s="63"/>
      <x:c r="E68" s="100"/>
      <x:c r="F68" s="100"/>
      <x:c r="G68" s="100"/>
      <x:c r="H68" s="100"/>
      <x:c r="I68" s="100"/>
      <x:c r="K68" s="56" t="n">
        <x:f>IFERROR(G68/F68,0)</x:f>
        <x:v>0</x:v>
      </x:c>
      <x:c r="L68" s="56" t="n">
        <x:f>IFERROR(H68/G68,0)</x:f>
        <x:v>0</x:v>
      </x:c>
    </x:row>
    <x:row r="69">
      <x:c r="A69" s="63"/>
      <x:c r="E69" s="100"/>
      <x:c r="F69" s="100"/>
      <x:c r="G69" s="100"/>
      <x:c r="H69" s="100"/>
      <x:c r="I69" s="100"/>
      <x:c r="K69" s="56" t="n">
        <x:f>IFERROR(G69/F69,0)</x:f>
        <x:v>0</x:v>
      </x:c>
      <x:c r="L69" s="56" t="n">
        <x:f>IFERROR(H69/G69,0)</x:f>
        <x:v>0</x:v>
      </x:c>
    </x:row>
    <x:row r="70">
      <x:c r="A70" s="63"/>
      <x:c r="E70" s="100"/>
      <x:c r="F70" s="100"/>
      <x:c r="G70" s="100"/>
      <x:c r="H70" s="100"/>
      <x:c r="I70" s="100"/>
      <x:c r="K70" s="56" t="n">
        <x:f>IFERROR(G70/F70,0)</x:f>
        <x:v>0</x:v>
      </x:c>
      <x:c r="L70" s="56" t="n">
        <x:f>IFERROR(H70/G70,0)</x:f>
        <x:v>0</x:v>
      </x:c>
    </x:row>
    <x:row r="71">
      <x:c r="A71" s="63"/>
      <x:c r="E71" s="100"/>
      <x:c r="F71" s="100"/>
      <x:c r="G71" s="100"/>
      <x:c r="H71" s="100"/>
      <x:c r="I71" s="100"/>
      <x:c r="K71" s="56" t="n">
        <x:f>IFERROR(G71/F71,0)</x:f>
        <x:v>0</x:v>
      </x:c>
      <x:c r="L71" s="56" t="n">
        <x:f>IFERROR(H71/G71,0)</x:f>
        <x:v>0</x:v>
      </x:c>
    </x:row>
    <x:row r="72">
      <x:c r="A72" s="63"/>
      <x:c r="E72" s="100"/>
      <x:c r="F72" s="100"/>
      <x:c r="G72" s="100"/>
      <x:c r="H72" s="100"/>
      <x:c r="I72" s="100"/>
      <x:c r="K72" s="56" t="n">
        <x:f>IFERROR(G72/F72,0)</x:f>
        <x:v>0</x:v>
      </x:c>
      <x:c r="L72" s="56" t="n">
        <x:f>IFERROR(H72/G72,0)</x:f>
        <x:v>0</x:v>
      </x:c>
    </x:row>
    <x:row r="73">
      <x:c r="A73" s="63"/>
      <x:c r="E73" s="100"/>
      <x:c r="F73" s="100"/>
      <x:c r="G73" s="100"/>
      <x:c r="H73" s="100"/>
      <x:c r="I73" s="100"/>
      <x:c r="K73" s="56" t="n">
        <x:f>IFERROR(G73/F73,0)</x:f>
        <x:v>0</x:v>
      </x:c>
      <x:c r="L73" s="56" t="n">
        <x:f>IFERROR(H73/G73,0)</x:f>
        <x:v>0</x:v>
      </x:c>
    </x:row>
    <x:row r="74">
      <x:c r="A74" s="63"/>
      <x:c r="E74" s="100"/>
      <x:c r="F74" s="100"/>
      <x:c r="G74" s="100"/>
      <x:c r="H74" s="100"/>
      <x:c r="I74" s="100"/>
      <x:c r="K74" s="56" t="n">
        <x:f>IFERROR(G74/F74,0)</x:f>
        <x:v>0</x:v>
      </x:c>
      <x:c r="L74" s="56" t="n">
        <x:f>IFERROR(H74/G74,0)</x:f>
        <x:v>0</x:v>
      </x:c>
    </x:row>
    <x:row r="75">
      <x:c r="A75" s="63"/>
      <x:c r="E75" s="100"/>
      <x:c r="F75" s="100"/>
      <x:c r="G75" s="100"/>
      <x:c r="H75" s="100"/>
      <x:c r="I75" s="100"/>
      <x:c r="K75" s="56" t="n">
        <x:f>IFERROR(G75/F75,0)</x:f>
        <x:v>0</x:v>
      </x:c>
      <x:c r="L75" s="56" t="n">
        <x:f>IFERROR(H75/G75,0)</x:f>
        <x:v>0</x:v>
      </x:c>
    </x:row>
    <x:row r="76">
      <x:c r="A76" s="63"/>
      <x:c r="E76" s="100"/>
      <x:c r="F76" s="100"/>
      <x:c r="G76" s="100"/>
      <x:c r="H76" s="100"/>
      <x:c r="I76" s="100"/>
      <x:c r="K76" s="56" t="n">
        <x:f>IFERROR(G76/F76,0)</x:f>
        <x:v>0</x:v>
      </x:c>
      <x:c r="L76" s="56" t="n">
        <x:f>IFERROR(H76/G76,0)</x:f>
        <x:v>0</x:v>
      </x:c>
    </x:row>
    <x:row r="77">
      <x:c r="A77" s="63"/>
      <x:c r="E77" s="100"/>
      <x:c r="F77" s="100"/>
      <x:c r="G77" s="100"/>
      <x:c r="H77" s="100"/>
      <x:c r="I77" s="100"/>
      <x:c r="K77" s="56" t="n">
        <x:f>IFERROR(G77/F77,0)</x:f>
        <x:v>0</x:v>
      </x:c>
      <x:c r="L77" s="56" t="n">
        <x:f>IFERROR(H77/G77,0)</x:f>
        <x:v>0</x:v>
      </x:c>
    </x:row>
    <x:row r="78">
      <x:c r="A78" s="63"/>
      <x:c r="E78" s="100"/>
      <x:c r="F78" s="100"/>
      <x:c r="G78" s="100"/>
      <x:c r="H78" s="100"/>
      <x:c r="I78" s="100"/>
      <x:c r="K78" s="56" t="n">
        <x:f>IFERROR(G78/F78,0)</x:f>
        <x:v>0</x:v>
      </x:c>
      <x:c r="L78" s="56" t="n">
        <x:f>IFERROR(H78/G78,0)</x:f>
        <x:v>0</x:v>
      </x:c>
    </x:row>
    <x:row r="79">
      <x:c r="A79" s="63"/>
      <x:c r="E79" s="100"/>
      <x:c r="F79" s="100"/>
      <x:c r="G79" s="100"/>
      <x:c r="H79" s="100"/>
      <x:c r="I79" s="100"/>
      <x:c r="K79" s="56" t="n">
        <x:f>IFERROR(G79/F79,0)</x:f>
        <x:v>0</x:v>
      </x:c>
      <x:c r="L79" s="56" t="n">
        <x:f>IFERROR(H79/G79,0)</x:f>
        <x:v>0</x:v>
      </x:c>
    </x:row>
    <x:row r="80">
      <x:c r="A80" s="63"/>
      <x:c r="E80" s="100"/>
      <x:c r="F80" s="100"/>
      <x:c r="G80" s="100"/>
      <x:c r="H80" s="100"/>
      <x:c r="I80" s="100"/>
      <x:c r="K80" s="56" t="n">
        <x:f>IFERROR(G80/F80,0)</x:f>
        <x:v>0</x:v>
      </x:c>
      <x:c r="L80" s="56" t="n">
        <x:f>IFERROR(H80/G80,0)</x:f>
        <x:v>0</x:v>
      </x:c>
    </x:row>
    <x:row r="81">
      <x:c r="A81" s="63"/>
      <x:c r="E81" s="100"/>
      <x:c r="F81" s="100"/>
      <x:c r="G81" s="100"/>
      <x:c r="H81" s="100"/>
      <x:c r="I81" s="100"/>
      <x:c r="K81" s="56" t="n">
        <x:f>IFERROR(G81/F81,0)</x:f>
        <x:v>0</x:v>
      </x:c>
      <x:c r="L81" s="56" t="n">
        <x:f>IFERROR(H81/G81,0)</x:f>
        <x:v>0</x:v>
      </x:c>
    </x:row>
    <x:row r="82">
      <x:c r="A82" s="63"/>
      <x:c r="E82" s="100"/>
      <x:c r="F82" s="100"/>
      <x:c r="G82" s="100"/>
      <x:c r="H82" s="100"/>
      <x:c r="I82" s="100"/>
      <x:c r="K82" s="56" t="n">
        <x:f>IFERROR(G82/F82,0)</x:f>
        <x:v>0</x:v>
      </x:c>
      <x:c r="L82" s="56" t="n">
        <x:f>IFERROR(H82/G82,0)</x:f>
        <x:v>0</x:v>
      </x:c>
    </x:row>
    <x:row r="83">
      <x:c r="A83" s="63"/>
      <x:c r="E83" s="100"/>
      <x:c r="F83" s="100"/>
      <x:c r="G83" s="100"/>
      <x:c r="H83" s="100"/>
      <x:c r="I83" s="100"/>
      <x:c r="K83" s="56" t="n">
        <x:f>IFERROR(G83/F83,0)</x:f>
        <x:v>0</x:v>
      </x:c>
      <x:c r="L83" s="56" t="n">
        <x:f>IFERROR(H83/G83,0)</x:f>
        <x:v>0</x:v>
      </x:c>
    </x:row>
    <x:row r="84">
      <x:c r="A84" s="63"/>
      <x:c r="E84" s="100"/>
      <x:c r="F84" s="100"/>
      <x:c r="G84" s="100"/>
      <x:c r="H84" s="100"/>
      <x:c r="I84" s="100"/>
      <x:c r="K84" s="56" t="n">
        <x:f>IFERROR(G84/F84,0)</x:f>
        <x:v>0</x:v>
      </x:c>
      <x:c r="L84" s="56" t="n">
        <x:f>IFERROR(H84/G84,0)</x:f>
        <x:v>0</x:v>
      </x:c>
    </x:row>
    <x:row r="85">
      <x:c r="A85" s="63"/>
      <x:c r="E85" s="100"/>
      <x:c r="F85" s="100"/>
      <x:c r="G85" s="100"/>
      <x:c r="H85" s="100"/>
      <x:c r="I85" s="100"/>
      <x:c r="K85" s="56" t="n">
        <x:f>IFERROR(G85/F85,0)</x:f>
        <x:v>0</x:v>
      </x:c>
      <x:c r="L85" s="56" t="n">
        <x:f>IFERROR(H85/G85,0)</x:f>
        <x:v>0</x:v>
      </x:c>
    </x:row>
    <x:row r="86">
      <x:c r="A86" s="63"/>
      <x:c r="E86" s="100"/>
      <x:c r="F86" s="100"/>
      <x:c r="G86" s="100"/>
      <x:c r="H86" s="100"/>
      <x:c r="I86" s="100"/>
      <x:c r="K86" s="56" t="n">
        <x:f>IFERROR(G86/F86,0)</x:f>
        <x:v>0</x:v>
      </x:c>
      <x:c r="L86" s="56" t="n">
        <x:f>IFERROR(H86/G86,0)</x:f>
        <x:v>0</x:v>
      </x:c>
    </x:row>
    <x:row r="87">
      <x:c r="A87" s="63"/>
      <x:c r="E87" s="100"/>
      <x:c r="F87" s="100"/>
      <x:c r="G87" s="100"/>
      <x:c r="H87" s="100"/>
      <x:c r="I87" s="100"/>
      <x:c r="K87" s="56" t="n">
        <x:f>IFERROR(G87/F87,0)</x:f>
        <x:v>0</x:v>
      </x:c>
      <x:c r="L87" s="56" t="n">
        <x:f>IFERROR(H87/G87,0)</x:f>
        <x:v>0</x:v>
      </x:c>
    </x:row>
    <x:row r="88">
      <x:c r="A88" s="63"/>
      <x:c r="E88" s="100"/>
      <x:c r="F88" s="100"/>
      <x:c r="G88" s="100"/>
      <x:c r="H88" s="100"/>
      <x:c r="I88" s="100"/>
      <x:c r="K88" s="56" t="n">
        <x:f>IFERROR(G88/F88,0)</x:f>
        <x:v>0</x:v>
      </x:c>
      <x:c r="L88" s="56" t="n">
        <x:f>IFERROR(H88/G88,0)</x:f>
        <x:v>0</x:v>
      </x:c>
    </x:row>
    <x:row r="89">
      <x:c r="A89" s="63"/>
      <x:c r="E89" s="100"/>
      <x:c r="F89" s="100"/>
      <x:c r="G89" s="100"/>
      <x:c r="H89" s="100"/>
      <x:c r="I89" s="100"/>
      <x:c r="K89" s="56" t="n">
        <x:f>IFERROR(G89/F89,0)</x:f>
        <x:v>0</x:v>
      </x:c>
      <x:c r="L89" s="56" t="n">
        <x:f>IFERROR(H89/G89,0)</x:f>
        <x:v>0</x:v>
      </x:c>
    </x:row>
    <x:row r="90">
      <x:c r="A90" s="63"/>
      <x:c r="E90" s="100"/>
      <x:c r="F90" s="100"/>
      <x:c r="G90" s="100"/>
      <x:c r="H90" s="100"/>
      <x:c r="I90" s="100"/>
      <x:c r="K90" s="56" t="n">
        <x:f>IFERROR(G90/F90,0)</x:f>
        <x:v>0</x:v>
      </x:c>
      <x:c r="L90" s="56" t="n">
        <x:f>IFERROR(H90/G90,0)</x:f>
        <x:v>0</x:v>
      </x:c>
    </x:row>
    <x:row r="91">
      <x:c r="A91" s="63"/>
      <x:c r="E91" s="100"/>
      <x:c r="F91" s="100"/>
      <x:c r="G91" s="100"/>
      <x:c r="H91" s="100"/>
      <x:c r="I91" s="100"/>
      <x:c r="K91" s="56" t="n">
        <x:f>IFERROR(G91/F91,0)</x:f>
        <x:v>0</x:v>
      </x:c>
      <x:c r="L91" s="56" t="n">
        <x:f>IFERROR(H91/G91,0)</x:f>
        <x:v>0</x:v>
      </x:c>
    </x:row>
    <x:row r="92">
      <x:c r="A92" s="63"/>
      <x:c r="E92" s="100"/>
      <x:c r="F92" s="100"/>
      <x:c r="G92" s="100"/>
      <x:c r="H92" s="100"/>
      <x:c r="I92" s="100"/>
      <x:c r="K92" s="56" t="n">
        <x:f>IFERROR(G92/F92,0)</x:f>
        <x:v>0</x:v>
      </x:c>
      <x:c r="L92" s="56" t="n">
        <x:f>IFERROR(H92/G92,0)</x:f>
        <x:v>0</x:v>
      </x:c>
    </x:row>
    <x:row r="93">
      <x:c r="A93" s="63"/>
      <x:c r="E93" s="100"/>
      <x:c r="F93" s="100"/>
      <x:c r="G93" s="100"/>
      <x:c r="H93" s="100"/>
      <x:c r="I93" s="100"/>
      <x:c r="K93" s="56" t="n">
        <x:f>IFERROR(G93/F93,0)</x:f>
        <x:v>0</x:v>
      </x:c>
      <x:c r="L93" s="56" t="n">
        <x:f>IFERROR(H93/G93,0)</x:f>
        <x:v>0</x:v>
      </x:c>
    </x:row>
    <x:row r="94">
      <x:c r="A94" s="63"/>
      <x:c r="E94" s="100"/>
      <x:c r="F94" s="100"/>
      <x:c r="G94" s="100"/>
      <x:c r="H94" s="100"/>
      <x:c r="I94" s="100"/>
      <x:c r="K94" s="56" t="n">
        <x:f>IFERROR(G94/F94,0)</x:f>
        <x:v>0</x:v>
      </x:c>
      <x:c r="L94" s="56" t="n">
        <x:f>IFERROR(H94/G94,0)</x:f>
        <x:v>0</x:v>
      </x:c>
    </x:row>
    <x:row r="95">
      <x:c r="A95" s="63"/>
      <x:c r="E95" s="100"/>
      <x:c r="F95" s="100"/>
      <x:c r="G95" s="100"/>
      <x:c r="H95" s="100"/>
      <x:c r="I95" s="100"/>
      <x:c r="K95" s="56" t="n">
        <x:f>IFERROR(G95/F95,0)</x:f>
        <x:v>0</x:v>
      </x:c>
      <x:c r="L95" s="56" t="n">
        <x:f>IFERROR(H95/G95,0)</x:f>
        <x:v>0</x:v>
      </x:c>
    </x:row>
    <x:row r="96">
      <x:c r="A96" s="63"/>
      <x:c r="E96" s="100"/>
      <x:c r="F96" s="100"/>
      <x:c r="G96" s="100"/>
      <x:c r="H96" s="100"/>
      <x:c r="I96" s="100"/>
      <x:c r="K96" s="56" t="n">
        <x:f>IFERROR(G96/F96,0)</x:f>
        <x:v>0</x:v>
      </x:c>
      <x:c r="L96" s="56" t="n">
        <x:f>IFERROR(H96/G96,0)</x:f>
        <x:v>0</x:v>
      </x:c>
    </x:row>
    <x:row r="97">
      <x:c r="A97" s="63"/>
      <x:c r="E97" s="100"/>
      <x:c r="F97" s="100"/>
      <x:c r="G97" s="100"/>
      <x:c r="H97" s="100"/>
      <x:c r="I97" s="100"/>
      <x:c r="K97" s="56" t="n">
        <x:f>IFERROR(G97/F97,0)</x:f>
        <x:v>0</x:v>
      </x:c>
      <x:c r="L97" s="56" t="n">
        <x:f>IFERROR(H97/G97,0)</x:f>
        <x:v>0</x:v>
      </x:c>
    </x:row>
    <x:row r="98">
      <x:c r="A98" s="63"/>
      <x:c r="E98" s="100"/>
      <x:c r="F98" s="100"/>
      <x:c r="G98" s="100"/>
      <x:c r="H98" s="100"/>
      <x:c r="I98" s="100"/>
      <x:c r="K98" s="56" t="n">
        <x:f>IFERROR(G98/F98,0)</x:f>
        <x:v>0</x:v>
      </x:c>
      <x:c r="L98" s="56" t="n">
        <x:f>IFERROR(H98/G98,0)</x:f>
        <x:v>0</x:v>
      </x:c>
    </x:row>
    <x:row r="99">
      <x:c r="A99" s="63"/>
      <x:c r="E99" s="100"/>
      <x:c r="F99" s="100"/>
      <x:c r="G99" s="100"/>
      <x:c r="H99" s="100"/>
      <x:c r="I99" s="100"/>
      <x:c r="K99" s="56" t="n">
        <x:f>IFERROR(G99/F99,0)</x:f>
        <x:v>0</x:v>
      </x:c>
      <x:c r="L99" s="56" t="n">
        <x:f>IFERROR(H99/G99,0)</x:f>
        <x:v>0</x:v>
      </x:c>
    </x:row>
    <x:row r="100">
      <x:c r="A100" s="63"/>
      <x:c r="E100" s="100"/>
      <x:c r="F100" s="100"/>
      <x:c r="G100" s="100"/>
      <x:c r="H100" s="100"/>
      <x:c r="I100" s="100"/>
      <x:c r="K100" s="56" t="n">
        <x:f>IFERROR(G100/F100,0)</x:f>
        <x:v>0</x:v>
      </x:c>
      <x:c r="L100" s="56" t="n">
        <x:f>IFERROR(H100/G100,0)</x:f>
        <x:v>0</x:v>
      </x:c>
    </x:row>
    <x:row r="101">
      <x:c r="A101" s="63"/>
      <x:c r="E101" s="100"/>
      <x:c r="F101" s="100"/>
      <x:c r="G101" s="100"/>
      <x:c r="H101" s="100"/>
      <x:c r="I101" s="100"/>
      <x:c r="K101" s="56" t="n">
        <x:f>IFERROR(G101/F101,0)</x:f>
        <x:v>0</x:v>
      </x:c>
      <x:c r="L101" s="56" t="n">
        <x:f>IFERROR(H101/G101,0)</x:f>
        <x:v>0</x:v>
      </x:c>
    </x:row>
  </x:sheetData>
  <x:dataValidations count="1">
    <x:dataValidation type="list" sqref="D2:D101">
      <x:formula1>"ManyChat,Meta Ads,Email,Otro"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F6F9F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5" hidden="0" customWidth="1"/>
    <x:col min="2" max="2" width="21.25" hidden="0" customWidth="1"/>
    <x:col min="3" max="3" width="21.25" hidden="0" customWidth="1"/>
    <x:col min="4" max="4" width="21.25" hidden="0" customWidth="1"/>
    <x:col min="5" max="5" width="21.25" hidden="0" customWidth="1"/>
    <x:col min="6" max="6" width="11.880000114440918" hidden="0" customWidth="1"/>
    <x:col min="7" max="7" width="11.880000114440918" hidden="0" customWidth="1"/>
    <x:col min="8" max="8" width="11.880000114440918" hidden="0" customWidth="1"/>
    <x:col min="9" max="9" width="11.880000114440918" hidden="0" customWidth="1"/>
    <x:col min="10" max="10" width="11.880000114440918" hidden="0" customWidth="1"/>
  </x:cols>
  <x:sheetData>
    <x:row r="1" ht="25.5" customHeight="1">
      <x:c r="A1" s="62" t="str">
        <x:v>Fecha</x:v>
      </x:c>
      <x:c r="B1" s="62" t="str">
        <x:v>Fuente</x:v>
      </x:c>
      <x:c r="C1" s="62" t="str">
        <x:v>Medio</x:v>
      </x:c>
      <x:c r="D1" s="62" t="str">
        <x:v>Campaña</x:v>
      </x:c>
      <x:c r="E1" s="62" t="str">
        <x:v>Hostname</x:v>
      </x:c>
      <x:c r="F1" s="62" t="str">
        <x:v>Sesiones</x:v>
      </x:c>
      <x:c r="G1" s="62" t="str">
        <x:v>Usuarios</x:v>
      </x:c>
      <x:c r="H1" s="62" t="str">
        <x:v>Vistas</x:v>
      </x:c>
      <x:c r="I1" s="62" t="str">
        <x:v>Eventos</x:v>
      </x:c>
      <x:c r="J1" s="62" t="str">
        <x:v>Eventos clave</x:v>
      </x:c>
    </x:row>
    <x:row r="2">
      <x:c r="A2" s="101"/>
      <x:c r="B2" s="96"/>
      <x:c r="C2" s="96"/>
      <x:c r="D2" s="96"/>
      <x:c r="E2" s="96"/>
      <x:c r="F2" s="102"/>
      <x:c r="G2" s="102"/>
      <x:c r="H2" s="102"/>
      <x:c r="I2" s="102"/>
      <x:c r="J2" s="102"/>
    </x:row>
    <x:row r="3">
      <x:c r="A3" s="101"/>
      <x:c r="B3" s="96"/>
      <x:c r="C3" s="96"/>
      <x:c r="D3" s="96"/>
      <x:c r="E3" s="96"/>
      <x:c r="F3" s="102"/>
      <x:c r="G3" s="102"/>
      <x:c r="H3" s="102"/>
      <x:c r="I3" s="102"/>
      <x:c r="J3" s="102"/>
    </x:row>
    <x:row r="4">
      <x:c r="A4" s="101"/>
      <x:c r="B4" s="96"/>
      <x:c r="C4" s="96"/>
      <x:c r="D4" s="96"/>
      <x:c r="E4" s="96"/>
      <x:c r="F4" s="102"/>
      <x:c r="G4" s="102"/>
      <x:c r="H4" s="102"/>
      <x:c r="I4" s="102"/>
      <x:c r="J4" s="102"/>
    </x:row>
    <x:row r="5">
      <x:c r="A5" s="101"/>
      <x:c r="B5" s="96"/>
      <x:c r="C5" s="96"/>
      <x:c r="D5" s="96"/>
      <x:c r="E5" s="96"/>
      <x:c r="F5" s="102"/>
      <x:c r="G5" s="102"/>
      <x:c r="H5" s="102"/>
      <x:c r="I5" s="102"/>
      <x:c r="J5" s="102"/>
    </x:row>
    <x:row r="6">
      <x:c r="A6" s="101"/>
      <x:c r="B6" s="96"/>
      <x:c r="C6" s="96"/>
      <x:c r="D6" s="96"/>
      <x:c r="E6" s="96"/>
      <x:c r="F6" s="102"/>
      <x:c r="G6" s="102"/>
      <x:c r="H6" s="102"/>
      <x:c r="I6" s="102"/>
      <x:c r="J6" s="102"/>
    </x:row>
    <x:row r="7">
      <x:c r="A7" s="101"/>
      <x:c r="B7" s="96"/>
      <x:c r="C7" s="96"/>
      <x:c r="D7" s="96"/>
      <x:c r="E7" s="96"/>
      <x:c r="F7" s="102"/>
      <x:c r="G7" s="102"/>
      <x:c r="H7" s="102"/>
      <x:c r="I7" s="102"/>
      <x:c r="J7" s="102"/>
    </x:row>
    <x:row r="8">
      <x:c r="A8" s="101"/>
      <x:c r="B8" s="96"/>
      <x:c r="C8" s="96"/>
      <x:c r="D8" s="96"/>
      <x:c r="E8" s="96"/>
      <x:c r="F8" s="102"/>
      <x:c r="G8" s="102"/>
      <x:c r="H8" s="102"/>
      <x:c r="I8" s="102"/>
      <x:c r="J8" s="102"/>
    </x:row>
    <x:row r="9">
      <x:c r="A9" s="101"/>
      <x:c r="B9" s="96"/>
      <x:c r="C9" s="96"/>
      <x:c r="D9" s="96"/>
      <x:c r="E9" s="96"/>
      <x:c r="F9" s="102"/>
      <x:c r="G9" s="102"/>
      <x:c r="H9" s="102"/>
      <x:c r="I9" s="102"/>
      <x:c r="J9" s="102"/>
    </x:row>
    <x:row r="10">
      <x:c r="A10" s="101"/>
      <x:c r="B10" s="96"/>
      <x:c r="C10" s="96"/>
      <x:c r="D10" s="96"/>
      <x:c r="E10" s="96"/>
      <x:c r="F10" s="102"/>
      <x:c r="G10" s="102"/>
      <x:c r="H10" s="102"/>
      <x:c r="I10" s="102"/>
      <x:c r="J10" s="102"/>
    </x:row>
    <x:row r="11">
      <x:c r="A11" s="101"/>
      <x:c r="B11" s="96"/>
      <x:c r="C11" s="96"/>
      <x:c r="D11" s="96"/>
      <x:c r="E11" s="96"/>
      <x:c r="F11" s="102"/>
      <x:c r="G11" s="102"/>
      <x:c r="H11" s="102"/>
      <x:c r="I11" s="102"/>
      <x:c r="J11" s="102"/>
    </x:row>
    <x:row r="12">
      <x:c r="A12" s="101"/>
      <x:c r="B12" s="96"/>
      <x:c r="C12" s="96"/>
      <x:c r="D12" s="96"/>
      <x:c r="E12" s="96"/>
      <x:c r="F12" s="102"/>
      <x:c r="G12" s="102"/>
      <x:c r="H12" s="102"/>
      <x:c r="I12" s="102"/>
      <x:c r="J12" s="102"/>
    </x:row>
    <x:row r="13">
      <x:c r="A13" s="101"/>
      <x:c r="B13" s="96"/>
      <x:c r="C13" s="96"/>
      <x:c r="D13" s="96"/>
      <x:c r="E13" s="96"/>
      <x:c r="F13" s="102"/>
      <x:c r="G13" s="102"/>
      <x:c r="H13" s="102"/>
      <x:c r="I13" s="102"/>
      <x:c r="J13" s="102"/>
    </x:row>
    <x:row r="14">
      <x:c r="A14" s="101"/>
      <x:c r="B14" s="96"/>
      <x:c r="C14" s="96"/>
      <x:c r="D14" s="96"/>
      <x:c r="E14" s="96"/>
      <x:c r="F14" s="102"/>
      <x:c r="G14" s="102"/>
      <x:c r="H14" s="102"/>
      <x:c r="I14" s="102"/>
      <x:c r="J14" s="102"/>
    </x:row>
    <x:row r="15">
      <x:c r="A15" s="101"/>
      <x:c r="B15" s="96"/>
      <x:c r="C15" s="96"/>
      <x:c r="D15" s="96"/>
      <x:c r="E15" s="96"/>
      <x:c r="F15" s="102"/>
      <x:c r="G15" s="102"/>
      <x:c r="H15" s="102"/>
      <x:c r="I15" s="102"/>
      <x:c r="J15" s="102"/>
    </x:row>
    <x:row r="16">
      <x:c r="A16" s="101"/>
      <x:c r="B16" s="96"/>
      <x:c r="C16" s="96"/>
      <x:c r="D16" s="96"/>
      <x:c r="E16" s="96"/>
      <x:c r="F16" s="102"/>
      <x:c r="G16" s="102"/>
      <x:c r="H16" s="102"/>
      <x:c r="I16" s="102"/>
      <x:c r="J16" s="102"/>
    </x:row>
    <x:row r="17">
      <x:c r="A17" s="101"/>
      <x:c r="B17" s="96"/>
      <x:c r="C17" s="96"/>
      <x:c r="D17" s="96"/>
      <x:c r="E17" s="96"/>
      <x:c r="F17" s="102"/>
      <x:c r="G17" s="102"/>
      <x:c r="H17" s="102"/>
      <x:c r="I17" s="102"/>
      <x:c r="J17" s="102"/>
    </x:row>
    <x:row r="18">
      <x:c r="A18" s="101"/>
      <x:c r="B18" s="96"/>
      <x:c r="C18" s="96"/>
      <x:c r="D18" s="96"/>
      <x:c r="E18" s="96"/>
      <x:c r="F18" s="102"/>
      <x:c r="G18" s="102"/>
      <x:c r="H18" s="102"/>
      <x:c r="I18" s="102"/>
      <x:c r="J18" s="102"/>
    </x:row>
    <x:row r="19">
      <x:c r="A19" s="101"/>
      <x:c r="B19" s="96"/>
      <x:c r="C19" s="96"/>
      <x:c r="D19" s="96"/>
      <x:c r="E19" s="96"/>
      <x:c r="F19" s="102"/>
      <x:c r="G19" s="102"/>
      <x:c r="H19" s="102"/>
      <x:c r="I19" s="102"/>
      <x:c r="J19" s="102"/>
    </x:row>
    <x:row r="20">
      <x:c r="A20" s="101"/>
      <x:c r="B20" s="96"/>
      <x:c r="C20" s="96"/>
      <x:c r="D20" s="96"/>
      <x:c r="E20" s="96"/>
      <x:c r="F20" s="102"/>
      <x:c r="G20" s="102"/>
      <x:c r="H20" s="102"/>
      <x:c r="I20" s="102"/>
      <x:c r="J20" s="102"/>
    </x:row>
    <x:row r="21">
      <x:c r="A21" s="101"/>
      <x:c r="B21" s="96"/>
      <x:c r="C21" s="96"/>
      <x:c r="D21" s="96"/>
      <x:c r="E21" s="96"/>
      <x:c r="F21" s="102"/>
      <x:c r="G21" s="102"/>
      <x:c r="H21" s="102"/>
      <x:c r="I21" s="102"/>
      <x:c r="J21" s="102"/>
    </x:row>
    <x:row r="22">
      <x:c r="A22" s="101"/>
      <x:c r="B22" s="96"/>
      <x:c r="C22" s="96"/>
      <x:c r="D22" s="96"/>
      <x:c r="E22" s="96"/>
      <x:c r="F22" s="102"/>
      <x:c r="G22" s="102"/>
      <x:c r="H22" s="102"/>
      <x:c r="I22" s="102"/>
      <x:c r="J22" s="102"/>
    </x:row>
    <x:row r="23">
      <x:c r="A23" s="101"/>
      <x:c r="B23" s="96"/>
      <x:c r="C23" s="96"/>
      <x:c r="D23" s="96"/>
      <x:c r="E23" s="96"/>
      <x:c r="F23" s="102"/>
      <x:c r="G23" s="102"/>
      <x:c r="H23" s="102"/>
      <x:c r="I23" s="102"/>
      <x:c r="J23" s="102"/>
    </x:row>
    <x:row r="24">
      <x:c r="A24" s="101"/>
      <x:c r="B24" s="96"/>
      <x:c r="C24" s="96"/>
      <x:c r="D24" s="96"/>
      <x:c r="E24" s="96"/>
      <x:c r="F24" s="102"/>
      <x:c r="G24" s="102"/>
      <x:c r="H24" s="102"/>
      <x:c r="I24" s="102"/>
      <x:c r="J24" s="102"/>
    </x:row>
    <x:row r="25">
      <x:c r="A25" s="101"/>
      <x:c r="B25" s="96"/>
      <x:c r="C25" s="96"/>
      <x:c r="D25" s="96"/>
      <x:c r="E25" s="96"/>
      <x:c r="F25" s="102"/>
      <x:c r="G25" s="102"/>
      <x:c r="H25" s="102"/>
      <x:c r="I25" s="102"/>
      <x:c r="J25" s="102"/>
    </x:row>
    <x:row r="26">
      <x:c r="A26" s="101"/>
      <x:c r="B26" s="96"/>
      <x:c r="C26" s="96"/>
      <x:c r="D26" s="96"/>
      <x:c r="E26" s="96"/>
      <x:c r="F26" s="102"/>
      <x:c r="G26" s="102"/>
      <x:c r="H26" s="102"/>
      <x:c r="I26" s="102"/>
      <x:c r="J26" s="102"/>
    </x:row>
    <x:row r="27">
      <x:c r="A27" s="101"/>
      <x:c r="B27" s="96"/>
      <x:c r="C27" s="96"/>
      <x:c r="D27" s="96"/>
      <x:c r="E27" s="96"/>
      <x:c r="F27" s="102"/>
      <x:c r="G27" s="102"/>
      <x:c r="H27" s="102"/>
      <x:c r="I27" s="102"/>
      <x:c r="J27" s="102"/>
    </x:row>
    <x:row r="28">
      <x:c r="A28" s="101"/>
      <x:c r="B28" s="96"/>
      <x:c r="C28" s="96"/>
      <x:c r="D28" s="96"/>
      <x:c r="E28" s="96"/>
      <x:c r="F28" s="102"/>
      <x:c r="G28" s="102"/>
      <x:c r="H28" s="102"/>
      <x:c r="I28" s="102"/>
      <x:c r="J28" s="102"/>
    </x:row>
    <x:row r="29">
      <x:c r="A29" s="101"/>
      <x:c r="B29" s="96"/>
      <x:c r="C29" s="96"/>
      <x:c r="D29" s="96"/>
      <x:c r="E29" s="96"/>
      <x:c r="F29" s="102"/>
      <x:c r="G29" s="102"/>
      <x:c r="H29" s="102"/>
      <x:c r="I29" s="102"/>
      <x:c r="J29" s="102"/>
    </x:row>
    <x:row r="30">
      <x:c r="A30" s="101"/>
      <x:c r="B30" s="96"/>
      <x:c r="C30" s="96"/>
      <x:c r="D30" s="96"/>
      <x:c r="E30" s="96"/>
      <x:c r="F30" s="102"/>
      <x:c r="G30" s="102"/>
      <x:c r="H30" s="102"/>
      <x:c r="I30" s="102"/>
      <x:c r="J30" s="102"/>
    </x:row>
    <x:row r="31">
      <x:c r="A31" s="101"/>
      <x:c r="B31" s="96"/>
      <x:c r="C31" s="96"/>
      <x:c r="D31" s="96"/>
      <x:c r="E31" s="96"/>
      <x:c r="F31" s="102"/>
      <x:c r="G31" s="102"/>
      <x:c r="H31" s="102"/>
      <x:c r="I31" s="102"/>
      <x:c r="J31" s="102"/>
    </x:row>
    <x:row r="32">
      <x:c r="A32" s="101"/>
      <x:c r="B32" s="96"/>
      <x:c r="C32" s="96"/>
      <x:c r="D32" s="96"/>
      <x:c r="E32" s="96"/>
      <x:c r="F32" s="102"/>
      <x:c r="G32" s="102"/>
      <x:c r="H32" s="102"/>
      <x:c r="I32" s="102"/>
      <x:c r="J32" s="102"/>
    </x:row>
    <x:row r="33">
      <x:c r="A33" s="101"/>
      <x:c r="B33" s="96"/>
      <x:c r="C33" s="96"/>
      <x:c r="D33" s="96"/>
      <x:c r="E33" s="96"/>
      <x:c r="F33" s="102"/>
      <x:c r="G33" s="102"/>
      <x:c r="H33" s="102"/>
      <x:c r="I33" s="102"/>
      <x:c r="J33" s="102"/>
    </x:row>
    <x:row r="34">
      <x:c r="A34" s="101"/>
      <x:c r="B34" s="96"/>
      <x:c r="C34" s="96"/>
      <x:c r="D34" s="96"/>
      <x:c r="E34" s="96"/>
      <x:c r="F34" s="102"/>
      <x:c r="G34" s="102"/>
      <x:c r="H34" s="102"/>
      <x:c r="I34" s="102"/>
      <x:c r="J34" s="102"/>
    </x:row>
    <x:row r="35">
      <x:c r="A35" s="101"/>
      <x:c r="B35" s="96"/>
      <x:c r="C35" s="96"/>
      <x:c r="D35" s="96"/>
      <x:c r="E35" s="96"/>
      <x:c r="F35" s="102"/>
      <x:c r="G35" s="102"/>
      <x:c r="H35" s="102"/>
      <x:c r="I35" s="102"/>
      <x:c r="J35" s="102"/>
    </x:row>
    <x:row r="36">
      <x:c r="A36" s="101"/>
      <x:c r="B36" s="96"/>
      <x:c r="C36" s="96"/>
      <x:c r="D36" s="96"/>
      <x:c r="E36" s="96"/>
      <x:c r="F36" s="102"/>
      <x:c r="G36" s="102"/>
      <x:c r="H36" s="102"/>
      <x:c r="I36" s="102"/>
      <x:c r="J36" s="102"/>
    </x:row>
    <x:row r="37">
      <x:c r="A37" s="101"/>
      <x:c r="B37" s="96"/>
      <x:c r="C37" s="96"/>
      <x:c r="D37" s="96"/>
      <x:c r="E37" s="96"/>
      <x:c r="F37" s="102"/>
      <x:c r="G37" s="102"/>
      <x:c r="H37" s="102"/>
      <x:c r="I37" s="102"/>
      <x:c r="J37" s="102"/>
    </x:row>
    <x:row r="38">
      <x:c r="A38" s="101"/>
      <x:c r="B38" s="96"/>
      <x:c r="C38" s="96"/>
      <x:c r="D38" s="96"/>
      <x:c r="E38" s="96"/>
      <x:c r="F38" s="102"/>
      <x:c r="G38" s="102"/>
      <x:c r="H38" s="102"/>
      <x:c r="I38" s="102"/>
      <x:c r="J38" s="102"/>
    </x:row>
    <x:row r="39">
      <x:c r="A39" s="101"/>
      <x:c r="B39" s="96"/>
      <x:c r="C39" s="96"/>
      <x:c r="D39" s="96"/>
      <x:c r="E39" s="96"/>
      <x:c r="F39" s="102"/>
      <x:c r="G39" s="102"/>
      <x:c r="H39" s="102"/>
      <x:c r="I39" s="102"/>
      <x:c r="J39" s="102"/>
    </x:row>
    <x:row r="40">
      <x:c r="A40" s="101"/>
      <x:c r="B40" s="96"/>
      <x:c r="C40" s="96"/>
      <x:c r="D40" s="96"/>
      <x:c r="E40" s="96"/>
      <x:c r="F40" s="102"/>
      <x:c r="G40" s="102"/>
      <x:c r="H40" s="102"/>
      <x:c r="I40" s="102"/>
      <x:c r="J40" s="102"/>
    </x:row>
    <x:row r="41">
      <x:c r="A41" s="63"/>
      <x:c r="F41" s="103"/>
      <x:c r="G41" s="103"/>
      <x:c r="H41" s="103"/>
      <x:c r="I41" s="103"/>
      <x:c r="J41" s="103"/>
    </x:row>
    <x:row r="42">
      <x:c r="A42" s="63"/>
      <x:c r="F42" s="103"/>
      <x:c r="G42" s="103"/>
      <x:c r="H42" s="103"/>
      <x:c r="I42" s="103"/>
      <x:c r="J42" s="103"/>
    </x:row>
    <x:row r="43">
      <x:c r="A43" s="63"/>
      <x:c r="F43" s="103"/>
      <x:c r="G43" s="103"/>
      <x:c r="H43" s="103"/>
      <x:c r="I43" s="103"/>
      <x:c r="J43" s="103"/>
    </x:row>
    <x:row r="44">
      <x:c r="A44" s="63"/>
      <x:c r="F44" s="103"/>
      <x:c r="G44" s="103"/>
      <x:c r="H44" s="103"/>
      <x:c r="I44" s="103"/>
      <x:c r="J44" s="103"/>
    </x:row>
    <x:row r="45">
      <x:c r="A45" s="63"/>
      <x:c r="F45" s="103"/>
      <x:c r="G45" s="103"/>
      <x:c r="H45" s="103"/>
      <x:c r="I45" s="103"/>
      <x:c r="J45" s="103"/>
    </x:row>
    <x:row r="46">
      <x:c r="A46" s="63"/>
      <x:c r="F46" s="103"/>
      <x:c r="G46" s="103"/>
      <x:c r="H46" s="103"/>
      <x:c r="I46" s="103"/>
      <x:c r="J46" s="103"/>
    </x:row>
    <x:row r="47">
      <x:c r="A47" s="63"/>
      <x:c r="F47" s="103"/>
      <x:c r="G47" s="103"/>
      <x:c r="H47" s="103"/>
      <x:c r="I47" s="103"/>
      <x:c r="J47" s="103"/>
    </x:row>
    <x:row r="48">
      <x:c r="A48" s="63"/>
      <x:c r="F48" s="103"/>
      <x:c r="G48" s="103"/>
      <x:c r="H48" s="103"/>
      <x:c r="I48" s="103"/>
      <x:c r="J48" s="103"/>
    </x:row>
    <x:row r="49">
      <x:c r="A49" s="63"/>
      <x:c r="F49" s="103"/>
      <x:c r="G49" s="103"/>
      <x:c r="H49" s="103"/>
      <x:c r="I49" s="103"/>
      <x:c r="J49" s="103"/>
    </x:row>
    <x:row r="50">
      <x:c r="A50" s="63"/>
      <x:c r="F50" s="103"/>
      <x:c r="G50" s="103"/>
      <x:c r="H50" s="103"/>
      <x:c r="I50" s="103"/>
      <x:c r="J50" s="103"/>
    </x:row>
    <x:row r="51">
      <x:c r="A51" s="63"/>
      <x:c r="F51" s="103"/>
      <x:c r="G51" s="103"/>
      <x:c r="H51" s="103"/>
      <x:c r="I51" s="103"/>
      <x:c r="J51" s="103"/>
    </x:row>
    <x:row r="52">
      <x:c r="A52" s="63"/>
      <x:c r="F52" s="103"/>
      <x:c r="G52" s="103"/>
      <x:c r="H52" s="103"/>
      <x:c r="I52" s="103"/>
      <x:c r="J52" s="103"/>
    </x:row>
    <x:row r="53">
      <x:c r="A53" s="63"/>
      <x:c r="F53" s="103"/>
      <x:c r="G53" s="103"/>
      <x:c r="H53" s="103"/>
      <x:c r="I53" s="103"/>
      <x:c r="J53" s="103"/>
    </x:row>
    <x:row r="54">
      <x:c r="A54" s="63"/>
      <x:c r="F54" s="103"/>
      <x:c r="G54" s="103"/>
      <x:c r="H54" s="103"/>
      <x:c r="I54" s="103"/>
      <x:c r="J54" s="103"/>
    </x:row>
    <x:row r="55">
      <x:c r="A55" s="63"/>
      <x:c r="F55" s="103"/>
      <x:c r="G55" s="103"/>
      <x:c r="H55" s="103"/>
      <x:c r="I55" s="103"/>
      <x:c r="J55" s="103"/>
    </x:row>
    <x:row r="56">
      <x:c r="A56" s="63"/>
      <x:c r="F56" s="103"/>
      <x:c r="G56" s="103"/>
      <x:c r="H56" s="103"/>
      <x:c r="I56" s="103"/>
      <x:c r="J56" s="103"/>
    </x:row>
    <x:row r="57">
      <x:c r="A57" s="63"/>
      <x:c r="F57" s="103"/>
      <x:c r="G57" s="103"/>
      <x:c r="H57" s="103"/>
      <x:c r="I57" s="103"/>
      <x:c r="J57" s="103"/>
    </x:row>
    <x:row r="58">
      <x:c r="A58" s="63"/>
      <x:c r="F58" s="103"/>
      <x:c r="G58" s="103"/>
      <x:c r="H58" s="103"/>
      <x:c r="I58" s="103"/>
      <x:c r="J58" s="103"/>
    </x:row>
    <x:row r="59">
      <x:c r="A59" s="63"/>
      <x:c r="F59" s="103"/>
      <x:c r="G59" s="103"/>
      <x:c r="H59" s="103"/>
      <x:c r="I59" s="103"/>
      <x:c r="J59" s="103"/>
    </x:row>
    <x:row r="60">
      <x:c r="A60" s="63"/>
      <x:c r="F60" s="103"/>
      <x:c r="G60" s="103"/>
      <x:c r="H60" s="103"/>
      <x:c r="I60" s="103"/>
      <x:c r="J60" s="103"/>
    </x:row>
    <x:row r="61">
      <x:c r="A61" s="63"/>
      <x:c r="F61" s="103"/>
      <x:c r="G61" s="103"/>
      <x:c r="H61" s="103"/>
      <x:c r="I61" s="103"/>
      <x:c r="J61" s="103"/>
    </x:row>
    <x:row r="62">
      <x:c r="A62" s="63"/>
      <x:c r="F62" s="103"/>
      <x:c r="G62" s="103"/>
      <x:c r="H62" s="103"/>
      <x:c r="I62" s="103"/>
      <x:c r="J62" s="103"/>
    </x:row>
    <x:row r="63">
      <x:c r="A63" s="63"/>
      <x:c r="F63" s="103"/>
      <x:c r="G63" s="103"/>
      <x:c r="H63" s="103"/>
      <x:c r="I63" s="103"/>
      <x:c r="J63" s="103"/>
    </x:row>
    <x:row r="64">
      <x:c r="A64" s="63"/>
      <x:c r="F64" s="103"/>
      <x:c r="G64" s="103"/>
      <x:c r="H64" s="103"/>
      <x:c r="I64" s="103"/>
      <x:c r="J64" s="103"/>
    </x:row>
    <x:row r="65">
      <x:c r="A65" s="63"/>
      <x:c r="F65" s="103"/>
      <x:c r="G65" s="103"/>
      <x:c r="H65" s="103"/>
      <x:c r="I65" s="103"/>
      <x:c r="J65" s="103"/>
    </x:row>
    <x:row r="66">
      <x:c r="A66" s="63"/>
      <x:c r="F66" s="103"/>
      <x:c r="G66" s="103"/>
      <x:c r="H66" s="103"/>
      <x:c r="I66" s="103"/>
      <x:c r="J66" s="103"/>
    </x:row>
    <x:row r="67">
      <x:c r="A67" s="63"/>
      <x:c r="F67" s="103"/>
      <x:c r="G67" s="103"/>
      <x:c r="H67" s="103"/>
      <x:c r="I67" s="103"/>
      <x:c r="J67" s="103"/>
    </x:row>
    <x:row r="68">
      <x:c r="A68" s="63"/>
      <x:c r="F68" s="103"/>
      <x:c r="G68" s="103"/>
      <x:c r="H68" s="103"/>
      <x:c r="I68" s="103"/>
      <x:c r="J68" s="103"/>
    </x:row>
    <x:row r="69">
      <x:c r="A69" s="63"/>
      <x:c r="F69" s="103"/>
      <x:c r="G69" s="103"/>
      <x:c r="H69" s="103"/>
      <x:c r="I69" s="103"/>
      <x:c r="J69" s="103"/>
    </x:row>
    <x:row r="70">
      <x:c r="A70" s="63"/>
      <x:c r="F70" s="103"/>
      <x:c r="G70" s="103"/>
      <x:c r="H70" s="103"/>
      <x:c r="I70" s="103"/>
      <x:c r="J70" s="103"/>
    </x:row>
    <x:row r="71">
      <x:c r="A71" s="63"/>
      <x:c r="F71" s="103"/>
      <x:c r="G71" s="103"/>
      <x:c r="H71" s="103"/>
      <x:c r="I71" s="103"/>
      <x:c r="J71" s="103"/>
    </x:row>
    <x:row r="72">
      <x:c r="A72" s="63"/>
      <x:c r="F72" s="103"/>
      <x:c r="G72" s="103"/>
      <x:c r="H72" s="103"/>
      <x:c r="I72" s="103"/>
      <x:c r="J72" s="103"/>
    </x:row>
    <x:row r="73">
      <x:c r="A73" s="63"/>
      <x:c r="F73" s="103"/>
      <x:c r="G73" s="103"/>
      <x:c r="H73" s="103"/>
      <x:c r="I73" s="103"/>
      <x:c r="J73" s="103"/>
    </x:row>
    <x:row r="74">
      <x:c r="A74" s="63"/>
      <x:c r="F74" s="103"/>
      <x:c r="G74" s="103"/>
      <x:c r="H74" s="103"/>
      <x:c r="I74" s="103"/>
      <x:c r="J74" s="103"/>
    </x:row>
    <x:row r="75">
      <x:c r="A75" s="63"/>
      <x:c r="F75" s="103"/>
      <x:c r="G75" s="103"/>
      <x:c r="H75" s="103"/>
      <x:c r="I75" s="103"/>
      <x:c r="J75" s="103"/>
    </x:row>
    <x:row r="76">
      <x:c r="A76" s="63"/>
      <x:c r="F76" s="103"/>
      <x:c r="G76" s="103"/>
      <x:c r="H76" s="103"/>
      <x:c r="I76" s="103"/>
      <x:c r="J76" s="103"/>
    </x:row>
    <x:row r="77">
      <x:c r="A77" s="63"/>
      <x:c r="F77" s="103"/>
      <x:c r="G77" s="103"/>
      <x:c r="H77" s="103"/>
      <x:c r="I77" s="103"/>
      <x:c r="J77" s="103"/>
    </x:row>
    <x:row r="78">
      <x:c r="A78" s="63"/>
      <x:c r="F78" s="103"/>
      <x:c r="G78" s="103"/>
      <x:c r="H78" s="103"/>
      <x:c r="I78" s="103"/>
      <x:c r="J78" s="103"/>
    </x:row>
    <x:row r="79">
      <x:c r="A79" s="63"/>
      <x:c r="F79" s="103"/>
      <x:c r="G79" s="103"/>
      <x:c r="H79" s="103"/>
      <x:c r="I79" s="103"/>
      <x:c r="J79" s="103"/>
    </x:row>
    <x:row r="80">
      <x:c r="A80" s="63"/>
      <x:c r="F80" s="103"/>
      <x:c r="G80" s="103"/>
      <x:c r="H80" s="103"/>
      <x:c r="I80" s="103"/>
      <x:c r="J80" s="103"/>
    </x:row>
    <x:row r="81">
      <x:c r="A81" s="63"/>
      <x:c r="F81" s="103"/>
      <x:c r="G81" s="103"/>
      <x:c r="H81" s="103"/>
      <x:c r="I81" s="103"/>
      <x:c r="J81" s="103"/>
    </x:row>
    <x:row r="82">
      <x:c r="A82" s="63"/>
      <x:c r="F82" s="103"/>
      <x:c r="G82" s="103"/>
      <x:c r="H82" s="103"/>
      <x:c r="I82" s="103"/>
      <x:c r="J82" s="103"/>
    </x:row>
    <x:row r="83">
      <x:c r="A83" s="63"/>
      <x:c r="F83" s="103"/>
      <x:c r="G83" s="103"/>
      <x:c r="H83" s="103"/>
      <x:c r="I83" s="103"/>
      <x:c r="J83" s="103"/>
    </x:row>
    <x:row r="84">
      <x:c r="A84" s="63"/>
      <x:c r="F84" s="103"/>
      <x:c r="G84" s="103"/>
      <x:c r="H84" s="103"/>
      <x:c r="I84" s="103"/>
      <x:c r="J84" s="103"/>
    </x:row>
    <x:row r="85">
      <x:c r="A85" s="63"/>
      <x:c r="F85" s="103"/>
      <x:c r="G85" s="103"/>
      <x:c r="H85" s="103"/>
      <x:c r="I85" s="103"/>
      <x:c r="J85" s="103"/>
    </x:row>
    <x:row r="86">
      <x:c r="A86" s="63"/>
      <x:c r="F86" s="103"/>
      <x:c r="G86" s="103"/>
      <x:c r="H86" s="103"/>
      <x:c r="I86" s="103"/>
      <x:c r="J86" s="103"/>
    </x:row>
    <x:row r="87">
      <x:c r="A87" s="63"/>
      <x:c r="F87" s="103"/>
      <x:c r="G87" s="103"/>
      <x:c r="H87" s="103"/>
      <x:c r="I87" s="103"/>
      <x:c r="J87" s="103"/>
    </x:row>
    <x:row r="88">
      <x:c r="A88" s="63"/>
      <x:c r="F88" s="103"/>
      <x:c r="G88" s="103"/>
      <x:c r="H88" s="103"/>
      <x:c r="I88" s="103"/>
      <x:c r="J88" s="103"/>
    </x:row>
    <x:row r="89">
      <x:c r="A89" s="63"/>
      <x:c r="F89" s="103"/>
      <x:c r="G89" s="103"/>
      <x:c r="H89" s="103"/>
      <x:c r="I89" s="103"/>
      <x:c r="J89" s="103"/>
    </x:row>
    <x:row r="90">
      <x:c r="A90" s="63"/>
      <x:c r="F90" s="103"/>
      <x:c r="G90" s="103"/>
      <x:c r="H90" s="103"/>
      <x:c r="I90" s="103"/>
      <x:c r="J90" s="103"/>
    </x:row>
    <x:row r="91">
      <x:c r="A91" s="63"/>
      <x:c r="F91" s="103"/>
      <x:c r="G91" s="103"/>
      <x:c r="H91" s="103"/>
      <x:c r="I91" s="103"/>
      <x:c r="J91" s="103"/>
    </x:row>
    <x:row r="92">
      <x:c r="A92" s="63"/>
      <x:c r="F92" s="103"/>
      <x:c r="G92" s="103"/>
      <x:c r="H92" s="103"/>
      <x:c r="I92" s="103"/>
      <x:c r="J92" s="103"/>
    </x:row>
    <x:row r="93">
      <x:c r="A93" s="63"/>
      <x:c r="F93" s="103"/>
      <x:c r="G93" s="103"/>
      <x:c r="H93" s="103"/>
      <x:c r="I93" s="103"/>
      <x:c r="J93" s="103"/>
    </x:row>
    <x:row r="94">
      <x:c r="A94" s="63"/>
      <x:c r="F94" s="103"/>
      <x:c r="G94" s="103"/>
      <x:c r="H94" s="103"/>
      <x:c r="I94" s="103"/>
      <x:c r="J94" s="103"/>
    </x:row>
    <x:row r="95">
      <x:c r="A95" s="63"/>
      <x:c r="F95" s="103"/>
      <x:c r="G95" s="103"/>
      <x:c r="H95" s="103"/>
      <x:c r="I95" s="103"/>
      <x:c r="J95" s="103"/>
    </x:row>
    <x:row r="96">
      <x:c r="A96" s="63"/>
      <x:c r="F96" s="103"/>
      <x:c r="G96" s="103"/>
      <x:c r="H96" s="103"/>
      <x:c r="I96" s="103"/>
      <x:c r="J96" s="103"/>
    </x:row>
    <x:row r="97">
      <x:c r="A97" s="63"/>
      <x:c r="F97" s="103"/>
      <x:c r="G97" s="103"/>
      <x:c r="H97" s="103"/>
      <x:c r="I97" s="103"/>
      <x:c r="J97" s="103"/>
    </x:row>
    <x:row r="98">
      <x:c r="A98" s="63"/>
      <x:c r="F98" s="103"/>
      <x:c r="G98" s="103"/>
      <x:c r="H98" s="103"/>
      <x:c r="I98" s="103"/>
      <x:c r="J98" s="103"/>
    </x:row>
    <x:row r="99">
      <x:c r="A99" s="63"/>
      <x:c r="F99" s="103"/>
      <x:c r="G99" s="103"/>
      <x:c r="H99" s="103"/>
      <x:c r="I99" s="103"/>
      <x:c r="J99" s="103"/>
    </x:row>
    <x:row r="100">
      <x:c r="A100" s="63"/>
      <x:c r="F100" s="103"/>
      <x:c r="G100" s="103"/>
      <x:c r="H100" s="103"/>
      <x:c r="I100" s="103"/>
      <x:c r="J100" s="103"/>
    </x:row>
    <x:row r="101">
      <x:c r="A101" s="63"/>
      <x:c r="F101" s="103"/>
      <x:c r="G101" s="103"/>
      <x:c r="H101" s="103"/>
      <x:c r="I101" s="103"/>
      <x:c r="J101" s="103"/>
    </x:row>
    <x:row r="102">
      <x:c r="A102" s="63"/>
      <x:c r="F102" s="103"/>
      <x:c r="G102" s="103"/>
      <x:c r="H102" s="103"/>
      <x:c r="I102" s="103"/>
      <x:c r="J102" s="103"/>
    </x:row>
    <x:row r="103">
      <x:c r="A103" s="63"/>
      <x:c r="F103" s="103"/>
      <x:c r="G103" s="103"/>
      <x:c r="H103" s="103"/>
      <x:c r="I103" s="103"/>
      <x:c r="J103" s="103"/>
    </x:row>
    <x:row r="104">
      <x:c r="A104" s="63"/>
      <x:c r="F104" s="103"/>
      <x:c r="G104" s="103"/>
      <x:c r="H104" s="103"/>
      <x:c r="I104" s="103"/>
      <x:c r="J104" s="103"/>
    </x:row>
    <x:row r="105">
      <x:c r="A105" s="63"/>
      <x:c r="F105" s="103"/>
      <x:c r="G105" s="103"/>
      <x:c r="H105" s="103"/>
      <x:c r="I105" s="103"/>
      <x:c r="J105" s="103"/>
    </x:row>
    <x:row r="106">
      <x:c r="A106" s="63"/>
      <x:c r="F106" s="103"/>
      <x:c r="G106" s="103"/>
      <x:c r="H106" s="103"/>
      <x:c r="I106" s="103"/>
      <x:c r="J106" s="103"/>
    </x:row>
    <x:row r="107">
      <x:c r="A107" s="63"/>
      <x:c r="F107" s="103"/>
      <x:c r="G107" s="103"/>
      <x:c r="H107" s="103"/>
      <x:c r="I107" s="103"/>
      <x:c r="J107" s="103"/>
    </x:row>
    <x:row r="108">
      <x:c r="A108" s="63"/>
      <x:c r="F108" s="103"/>
      <x:c r="G108" s="103"/>
      <x:c r="H108" s="103"/>
      <x:c r="I108" s="103"/>
      <x:c r="J108" s="103"/>
    </x:row>
    <x:row r="109">
      <x:c r="A109" s="63"/>
      <x:c r="F109" s="103"/>
      <x:c r="G109" s="103"/>
      <x:c r="H109" s="103"/>
      <x:c r="I109" s="103"/>
      <x:c r="J109" s="103"/>
    </x:row>
    <x:row r="110">
      <x:c r="A110" s="63"/>
      <x:c r="F110" s="103"/>
      <x:c r="G110" s="103"/>
      <x:c r="H110" s="103"/>
      <x:c r="I110" s="103"/>
      <x:c r="J110" s="103"/>
    </x:row>
    <x:row r="111">
      <x:c r="A111" s="63"/>
      <x:c r="F111" s="103"/>
      <x:c r="G111" s="103"/>
      <x:c r="H111" s="103"/>
      <x:c r="I111" s="103"/>
      <x:c r="J111" s="103"/>
    </x:row>
    <x:row r="112">
      <x:c r="A112" s="63"/>
      <x:c r="F112" s="103"/>
      <x:c r="G112" s="103"/>
      <x:c r="H112" s="103"/>
      <x:c r="I112" s="103"/>
      <x:c r="J112" s="103"/>
    </x:row>
    <x:row r="113">
      <x:c r="A113" s="63"/>
      <x:c r="F113" s="103"/>
      <x:c r="G113" s="103"/>
      <x:c r="H113" s="103"/>
      <x:c r="I113" s="103"/>
      <x:c r="J113" s="103"/>
    </x:row>
    <x:row r="114">
      <x:c r="A114" s="63"/>
      <x:c r="F114" s="103"/>
      <x:c r="G114" s="103"/>
      <x:c r="H114" s="103"/>
      <x:c r="I114" s="103"/>
      <x:c r="J114" s="103"/>
    </x:row>
    <x:row r="115">
      <x:c r="A115" s="63"/>
      <x:c r="F115" s="103"/>
      <x:c r="G115" s="103"/>
      <x:c r="H115" s="103"/>
      <x:c r="I115" s="103"/>
      <x:c r="J115" s="103"/>
    </x:row>
    <x:row r="116">
      <x:c r="A116" s="63"/>
      <x:c r="F116" s="103"/>
      <x:c r="G116" s="103"/>
      <x:c r="H116" s="103"/>
      <x:c r="I116" s="103"/>
      <x:c r="J116" s="103"/>
    </x:row>
    <x:row r="117">
      <x:c r="A117" s="63"/>
      <x:c r="F117" s="103"/>
      <x:c r="G117" s="103"/>
      <x:c r="H117" s="103"/>
      <x:c r="I117" s="103"/>
      <x:c r="J117" s="103"/>
    </x:row>
    <x:row r="118">
      <x:c r="A118" s="63"/>
      <x:c r="F118" s="103"/>
      <x:c r="G118" s="103"/>
      <x:c r="H118" s="103"/>
      <x:c r="I118" s="103"/>
      <x:c r="J118" s="103"/>
    </x:row>
    <x:row r="119">
      <x:c r="A119" s="63"/>
      <x:c r="F119" s="103"/>
      <x:c r="G119" s="103"/>
      <x:c r="H119" s="103"/>
      <x:c r="I119" s="103"/>
      <x:c r="J119" s="103"/>
    </x:row>
    <x:row r="120">
      <x:c r="A120" s="63"/>
      <x:c r="F120" s="103"/>
      <x:c r="G120" s="103"/>
      <x:c r="H120" s="103"/>
      <x:c r="I120" s="103"/>
      <x:c r="J120" s="103"/>
    </x:row>
    <x:row r="121">
      <x:c r="A121" s="63"/>
      <x:c r="F121" s="103"/>
      <x:c r="G121" s="103"/>
      <x:c r="H121" s="103"/>
      <x:c r="I121" s="103"/>
      <x:c r="J121" s="103"/>
    </x:row>
    <x:row r="122">
      <x:c r="A122" s="63"/>
      <x:c r="F122" s="103"/>
      <x:c r="G122" s="103"/>
      <x:c r="H122" s="103"/>
      <x:c r="I122" s="103"/>
      <x:c r="J122" s="103"/>
    </x:row>
    <x:row r="123">
      <x:c r="A123" s="63"/>
      <x:c r="F123" s="103"/>
      <x:c r="G123" s="103"/>
      <x:c r="H123" s="103"/>
      <x:c r="I123" s="103"/>
      <x:c r="J123" s="103"/>
    </x:row>
    <x:row r="124">
      <x:c r="A124" s="63"/>
      <x:c r="F124" s="103"/>
      <x:c r="G124" s="103"/>
      <x:c r="H124" s="103"/>
      <x:c r="I124" s="103"/>
      <x:c r="J124" s="103"/>
    </x:row>
    <x:row r="125">
      <x:c r="A125" s="63"/>
      <x:c r="F125" s="103"/>
      <x:c r="G125" s="103"/>
      <x:c r="H125" s="103"/>
      <x:c r="I125" s="103"/>
      <x:c r="J125" s="103"/>
    </x:row>
    <x:row r="126">
      <x:c r="A126" s="63"/>
      <x:c r="F126" s="103"/>
      <x:c r="G126" s="103"/>
      <x:c r="H126" s="103"/>
      <x:c r="I126" s="103"/>
      <x:c r="J126" s="103"/>
    </x:row>
    <x:row r="127">
      <x:c r="A127" s="63"/>
      <x:c r="F127" s="103"/>
      <x:c r="G127" s="103"/>
      <x:c r="H127" s="103"/>
      <x:c r="I127" s="103"/>
      <x:c r="J127" s="103"/>
    </x:row>
    <x:row r="128">
      <x:c r="A128" s="63"/>
      <x:c r="F128" s="103"/>
      <x:c r="G128" s="103"/>
      <x:c r="H128" s="103"/>
      <x:c r="I128" s="103"/>
      <x:c r="J128" s="103"/>
    </x:row>
    <x:row r="129">
      <x:c r="A129" s="63"/>
      <x:c r="F129" s="103"/>
      <x:c r="G129" s="103"/>
      <x:c r="H129" s="103"/>
      <x:c r="I129" s="103"/>
      <x:c r="J129" s="103"/>
    </x:row>
    <x:row r="130">
      <x:c r="A130" s="63"/>
      <x:c r="F130" s="103"/>
      <x:c r="G130" s="103"/>
      <x:c r="H130" s="103"/>
      <x:c r="I130" s="103"/>
      <x:c r="J130" s="103"/>
    </x:row>
    <x:row r="131">
      <x:c r="A131" s="63"/>
      <x:c r="F131" s="103"/>
      <x:c r="G131" s="103"/>
      <x:c r="H131" s="103"/>
      <x:c r="I131" s="103"/>
      <x:c r="J131" s="103"/>
    </x:row>
    <x:row r="132">
      <x:c r="A132" s="63"/>
      <x:c r="F132" s="103"/>
      <x:c r="G132" s="103"/>
      <x:c r="H132" s="103"/>
      <x:c r="I132" s="103"/>
      <x:c r="J132" s="103"/>
    </x:row>
    <x:row r="133">
      <x:c r="A133" s="63"/>
      <x:c r="F133" s="103"/>
      <x:c r="G133" s="103"/>
      <x:c r="H133" s="103"/>
      <x:c r="I133" s="103"/>
      <x:c r="J133" s="103"/>
    </x:row>
    <x:row r="134">
      <x:c r="A134" s="63"/>
      <x:c r="F134" s="103"/>
      <x:c r="G134" s="103"/>
      <x:c r="H134" s="103"/>
      <x:c r="I134" s="103"/>
      <x:c r="J134" s="103"/>
    </x:row>
    <x:row r="135">
      <x:c r="A135" s="63"/>
      <x:c r="F135" s="103"/>
      <x:c r="G135" s="103"/>
      <x:c r="H135" s="103"/>
      <x:c r="I135" s="103"/>
      <x:c r="J135" s="103"/>
    </x:row>
    <x:row r="136">
      <x:c r="A136" s="63"/>
      <x:c r="F136" s="103"/>
      <x:c r="G136" s="103"/>
      <x:c r="H136" s="103"/>
      <x:c r="I136" s="103"/>
      <x:c r="J136" s="103"/>
    </x:row>
    <x:row r="137">
      <x:c r="A137" s="63"/>
      <x:c r="F137" s="103"/>
      <x:c r="G137" s="103"/>
      <x:c r="H137" s="103"/>
      <x:c r="I137" s="103"/>
      <x:c r="J137" s="103"/>
    </x:row>
    <x:row r="138">
      <x:c r="A138" s="63"/>
      <x:c r="F138" s="103"/>
      <x:c r="G138" s="103"/>
      <x:c r="H138" s="103"/>
      <x:c r="I138" s="103"/>
      <x:c r="J138" s="103"/>
    </x:row>
    <x:row r="139">
      <x:c r="A139" s="63"/>
      <x:c r="F139" s="103"/>
      <x:c r="G139" s="103"/>
      <x:c r="H139" s="103"/>
      <x:c r="I139" s="103"/>
      <x:c r="J139" s="103"/>
    </x:row>
    <x:row r="140">
      <x:c r="A140" s="63"/>
      <x:c r="F140" s="103"/>
      <x:c r="G140" s="103"/>
      <x:c r="H140" s="103"/>
      <x:c r="I140" s="103"/>
      <x:c r="J140" s="103"/>
    </x:row>
    <x:row r="141">
      <x:c r="A141" s="63"/>
      <x:c r="F141" s="103"/>
      <x:c r="G141" s="103"/>
      <x:c r="H141" s="103"/>
      <x:c r="I141" s="103"/>
      <x:c r="J141" s="103"/>
    </x:row>
    <x:row r="142">
      <x:c r="A142" s="63"/>
      <x:c r="F142" s="103"/>
      <x:c r="G142" s="103"/>
      <x:c r="H142" s="103"/>
      <x:c r="I142" s="103"/>
      <x:c r="J142" s="103"/>
    </x:row>
    <x:row r="143">
      <x:c r="A143" s="63"/>
      <x:c r="F143" s="103"/>
      <x:c r="G143" s="103"/>
      <x:c r="H143" s="103"/>
      <x:c r="I143" s="103"/>
      <x:c r="J143" s="103"/>
    </x:row>
    <x:row r="144">
      <x:c r="A144" s="63"/>
      <x:c r="F144" s="103"/>
      <x:c r="G144" s="103"/>
      <x:c r="H144" s="103"/>
      <x:c r="I144" s="103"/>
      <x:c r="J144" s="103"/>
    </x:row>
    <x:row r="145">
      <x:c r="A145" s="63"/>
      <x:c r="F145" s="103"/>
      <x:c r="G145" s="103"/>
      <x:c r="H145" s="103"/>
      <x:c r="I145" s="103"/>
      <x:c r="J145" s="103"/>
    </x:row>
    <x:row r="146">
      <x:c r="A146" s="63"/>
      <x:c r="F146" s="103"/>
      <x:c r="G146" s="103"/>
      <x:c r="H146" s="103"/>
      <x:c r="I146" s="103"/>
      <x:c r="J146" s="103"/>
    </x:row>
    <x:row r="147">
      <x:c r="A147" s="63"/>
      <x:c r="F147" s="103"/>
      <x:c r="G147" s="103"/>
      <x:c r="H147" s="103"/>
      <x:c r="I147" s="103"/>
      <x:c r="J147" s="103"/>
    </x:row>
    <x:row r="148">
      <x:c r="A148" s="63"/>
      <x:c r="F148" s="103"/>
      <x:c r="G148" s="103"/>
      <x:c r="H148" s="103"/>
      <x:c r="I148" s="103"/>
      <x:c r="J148" s="103"/>
    </x:row>
    <x:row r="149">
      <x:c r="A149" s="63"/>
      <x:c r="F149" s="103"/>
      <x:c r="G149" s="103"/>
      <x:c r="H149" s="103"/>
      <x:c r="I149" s="103"/>
      <x:c r="J149" s="103"/>
    </x:row>
    <x:row r="150">
      <x:c r="A150" s="63"/>
      <x:c r="F150" s="103"/>
      <x:c r="G150" s="103"/>
      <x:c r="H150" s="103"/>
      <x:c r="I150" s="103"/>
      <x:c r="J150" s="103"/>
    </x:row>
    <x:row r="151">
      <x:c r="A151" s="63"/>
      <x:c r="F151" s="103"/>
      <x:c r="G151" s="103"/>
      <x:c r="H151" s="103"/>
      <x:c r="I151" s="103"/>
      <x:c r="J151" s="103"/>
    </x:row>
    <x:row r="152">
      <x:c r="A152" s="63"/>
      <x:c r="F152" s="103"/>
      <x:c r="G152" s="103"/>
      <x:c r="H152" s="103"/>
      <x:c r="I152" s="103"/>
      <x:c r="J152" s="103"/>
    </x:row>
    <x:row r="153">
      <x:c r="A153" s="63"/>
      <x:c r="F153" s="103"/>
      <x:c r="G153" s="103"/>
      <x:c r="H153" s="103"/>
      <x:c r="I153" s="103"/>
      <x:c r="J153" s="103"/>
    </x:row>
    <x:row r="154">
      <x:c r="A154" s="63"/>
      <x:c r="F154" s="103"/>
      <x:c r="G154" s="103"/>
      <x:c r="H154" s="103"/>
      <x:c r="I154" s="103"/>
      <x:c r="J154" s="103"/>
    </x:row>
    <x:row r="155">
      <x:c r="A155" s="63"/>
      <x:c r="F155" s="103"/>
      <x:c r="G155" s="103"/>
      <x:c r="H155" s="103"/>
      <x:c r="I155" s="103"/>
      <x:c r="J155" s="103"/>
    </x:row>
    <x:row r="156">
      <x:c r="A156" s="63"/>
      <x:c r="F156" s="103"/>
      <x:c r="G156" s="103"/>
      <x:c r="H156" s="103"/>
      <x:c r="I156" s="103"/>
      <x:c r="J156" s="103"/>
    </x:row>
    <x:row r="157">
      <x:c r="A157" s="63"/>
      <x:c r="F157" s="103"/>
      <x:c r="G157" s="103"/>
      <x:c r="H157" s="103"/>
      <x:c r="I157" s="103"/>
      <x:c r="J157" s="103"/>
    </x:row>
    <x:row r="158">
      <x:c r="A158" s="63"/>
      <x:c r="F158" s="103"/>
      <x:c r="G158" s="103"/>
      <x:c r="H158" s="103"/>
      <x:c r="I158" s="103"/>
      <x:c r="J158" s="103"/>
    </x:row>
    <x:row r="159">
      <x:c r="A159" s="63"/>
      <x:c r="F159" s="103"/>
      <x:c r="G159" s="103"/>
      <x:c r="H159" s="103"/>
      <x:c r="I159" s="103"/>
      <x:c r="J159" s="103"/>
    </x:row>
    <x:row r="160">
      <x:c r="A160" s="63"/>
      <x:c r="F160" s="103"/>
      <x:c r="G160" s="103"/>
      <x:c r="H160" s="103"/>
      <x:c r="I160" s="103"/>
      <x:c r="J160" s="103"/>
    </x:row>
    <x:row r="161">
      <x:c r="A161" s="63"/>
      <x:c r="F161" s="103"/>
      <x:c r="G161" s="103"/>
      <x:c r="H161" s="103"/>
      <x:c r="I161" s="103"/>
      <x:c r="J161" s="103"/>
    </x:row>
    <x:row r="162">
      <x:c r="A162" s="63"/>
      <x:c r="F162" s="103"/>
      <x:c r="G162" s="103"/>
      <x:c r="H162" s="103"/>
      <x:c r="I162" s="103"/>
      <x:c r="J162" s="103"/>
    </x:row>
    <x:row r="163">
      <x:c r="A163" s="63"/>
      <x:c r="F163" s="103"/>
      <x:c r="G163" s="103"/>
      <x:c r="H163" s="103"/>
      <x:c r="I163" s="103"/>
      <x:c r="J163" s="103"/>
    </x:row>
    <x:row r="164">
      <x:c r="A164" s="63"/>
      <x:c r="F164" s="103"/>
      <x:c r="G164" s="103"/>
      <x:c r="H164" s="103"/>
      <x:c r="I164" s="103"/>
      <x:c r="J164" s="103"/>
    </x:row>
    <x:row r="165">
      <x:c r="A165" s="63"/>
      <x:c r="F165" s="103"/>
      <x:c r="G165" s="103"/>
      <x:c r="H165" s="103"/>
      <x:c r="I165" s="103"/>
      <x:c r="J165" s="103"/>
    </x:row>
    <x:row r="166">
      <x:c r="A166" s="63"/>
      <x:c r="F166" s="103"/>
      <x:c r="G166" s="103"/>
      <x:c r="H166" s="103"/>
      <x:c r="I166" s="103"/>
      <x:c r="J166" s="103"/>
    </x:row>
    <x:row r="167">
      <x:c r="A167" s="63"/>
      <x:c r="F167" s="103"/>
      <x:c r="G167" s="103"/>
      <x:c r="H167" s="103"/>
      <x:c r="I167" s="103"/>
      <x:c r="J167" s="103"/>
    </x:row>
    <x:row r="168">
      <x:c r="A168" s="63"/>
      <x:c r="F168" s="103"/>
      <x:c r="G168" s="103"/>
      <x:c r="H168" s="103"/>
      <x:c r="I168" s="103"/>
      <x:c r="J168" s="103"/>
    </x:row>
    <x:row r="169">
      <x:c r="A169" s="63"/>
      <x:c r="F169" s="103"/>
      <x:c r="G169" s="103"/>
      <x:c r="H169" s="103"/>
      <x:c r="I169" s="103"/>
      <x:c r="J169" s="103"/>
    </x:row>
    <x:row r="170">
      <x:c r="A170" s="63"/>
      <x:c r="F170" s="103"/>
      <x:c r="G170" s="103"/>
      <x:c r="H170" s="103"/>
      <x:c r="I170" s="103"/>
      <x:c r="J170" s="103"/>
    </x:row>
    <x:row r="171">
      <x:c r="A171" s="63"/>
      <x:c r="F171" s="103"/>
      <x:c r="G171" s="103"/>
      <x:c r="H171" s="103"/>
      <x:c r="I171" s="103"/>
      <x:c r="J171" s="103"/>
    </x:row>
    <x:row r="172">
      <x:c r="A172" s="63"/>
      <x:c r="F172" s="103"/>
      <x:c r="G172" s="103"/>
      <x:c r="H172" s="103"/>
      <x:c r="I172" s="103"/>
      <x:c r="J172" s="103"/>
    </x:row>
    <x:row r="173">
      <x:c r="A173" s="63"/>
      <x:c r="F173" s="103"/>
      <x:c r="G173" s="103"/>
      <x:c r="H173" s="103"/>
      <x:c r="I173" s="103"/>
      <x:c r="J173" s="103"/>
    </x:row>
    <x:row r="174">
      <x:c r="A174" s="63"/>
      <x:c r="F174" s="103"/>
      <x:c r="G174" s="103"/>
      <x:c r="H174" s="103"/>
      <x:c r="I174" s="103"/>
      <x:c r="J174" s="103"/>
    </x:row>
    <x:row r="175">
      <x:c r="A175" s="63"/>
      <x:c r="F175" s="103"/>
      <x:c r="G175" s="103"/>
      <x:c r="H175" s="103"/>
      <x:c r="I175" s="103"/>
      <x:c r="J175" s="103"/>
    </x:row>
    <x:row r="176">
      <x:c r="A176" s="63"/>
      <x:c r="F176" s="103"/>
      <x:c r="G176" s="103"/>
      <x:c r="H176" s="103"/>
      <x:c r="I176" s="103"/>
      <x:c r="J176" s="103"/>
    </x:row>
    <x:row r="177">
      <x:c r="A177" s="63"/>
      <x:c r="F177" s="103"/>
      <x:c r="G177" s="103"/>
      <x:c r="H177" s="103"/>
      <x:c r="I177" s="103"/>
      <x:c r="J177" s="103"/>
    </x:row>
    <x:row r="178">
      <x:c r="A178" s="63"/>
      <x:c r="F178" s="103"/>
      <x:c r="G178" s="103"/>
      <x:c r="H178" s="103"/>
      <x:c r="I178" s="103"/>
      <x:c r="J178" s="103"/>
    </x:row>
    <x:row r="179">
      <x:c r="A179" s="63"/>
      <x:c r="F179" s="103"/>
      <x:c r="G179" s="103"/>
      <x:c r="H179" s="103"/>
      <x:c r="I179" s="103"/>
      <x:c r="J179" s="103"/>
    </x:row>
    <x:row r="180">
      <x:c r="A180" s="63"/>
      <x:c r="F180" s="103"/>
      <x:c r="G180" s="103"/>
      <x:c r="H180" s="103"/>
      <x:c r="I180" s="103"/>
      <x:c r="J180" s="103"/>
    </x:row>
    <x:row r="181">
      <x:c r="A181" s="63"/>
      <x:c r="F181" s="103"/>
      <x:c r="G181" s="103"/>
      <x:c r="H181" s="103"/>
      <x:c r="I181" s="103"/>
      <x:c r="J181" s="103"/>
    </x:row>
    <x:row r="182">
      <x:c r="A182" s="63"/>
      <x:c r="F182" s="103"/>
      <x:c r="G182" s="103"/>
      <x:c r="H182" s="103"/>
      <x:c r="I182" s="103"/>
      <x:c r="J182" s="103"/>
    </x:row>
    <x:row r="183">
      <x:c r="A183" s="63"/>
      <x:c r="F183" s="103"/>
      <x:c r="G183" s="103"/>
      <x:c r="H183" s="103"/>
      <x:c r="I183" s="103"/>
      <x:c r="J183" s="103"/>
    </x:row>
    <x:row r="184">
      <x:c r="A184" s="63"/>
      <x:c r="F184" s="103"/>
      <x:c r="G184" s="103"/>
      <x:c r="H184" s="103"/>
      <x:c r="I184" s="103"/>
      <x:c r="J184" s="103"/>
    </x:row>
    <x:row r="185">
      <x:c r="A185" s="63"/>
      <x:c r="F185" s="103"/>
      <x:c r="G185" s="103"/>
      <x:c r="H185" s="103"/>
      <x:c r="I185" s="103"/>
      <x:c r="J185" s="103"/>
    </x:row>
    <x:row r="186">
      <x:c r="A186" s="63"/>
      <x:c r="F186" s="103"/>
      <x:c r="G186" s="103"/>
      <x:c r="H186" s="103"/>
      <x:c r="I186" s="103"/>
      <x:c r="J186" s="103"/>
    </x:row>
    <x:row r="187">
      <x:c r="A187" s="63"/>
      <x:c r="F187" s="103"/>
      <x:c r="G187" s="103"/>
      <x:c r="H187" s="103"/>
      <x:c r="I187" s="103"/>
      <x:c r="J187" s="103"/>
    </x:row>
    <x:row r="188">
      <x:c r="A188" s="63"/>
      <x:c r="F188" s="103"/>
      <x:c r="G188" s="103"/>
      <x:c r="H188" s="103"/>
      <x:c r="I188" s="103"/>
      <x:c r="J188" s="103"/>
    </x:row>
    <x:row r="189">
      <x:c r="A189" s="63"/>
      <x:c r="F189" s="103"/>
      <x:c r="G189" s="103"/>
      <x:c r="H189" s="103"/>
      <x:c r="I189" s="103"/>
      <x:c r="J189" s="103"/>
    </x:row>
    <x:row r="190">
      <x:c r="A190" s="63"/>
      <x:c r="F190" s="103"/>
      <x:c r="G190" s="103"/>
      <x:c r="H190" s="103"/>
      <x:c r="I190" s="103"/>
      <x:c r="J190" s="103"/>
    </x:row>
    <x:row r="191">
      <x:c r="A191" s="63"/>
      <x:c r="F191" s="103"/>
      <x:c r="G191" s="103"/>
      <x:c r="H191" s="103"/>
      <x:c r="I191" s="103"/>
      <x:c r="J191" s="103"/>
    </x:row>
    <x:row r="192">
      <x:c r="A192" s="63"/>
      <x:c r="F192" s="103"/>
      <x:c r="G192" s="103"/>
      <x:c r="H192" s="103"/>
      <x:c r="I192" s="103"/>
      <x:c r="J192" s="103"/>
    </x:row>
    <x:row r="193">
      <x:c r="A193" s="63"/>
      <x:c r="F193" s="103"/>
      <x:c r="G193" s="103"/>
      <x:c r="H193" s="103"/>
      <x:c r="I193" s="103"/>
      <x:c r="J193" s="103"/>
    </x:row>
    <x:row r="194">
      <x:c r="A194" s="63"/>
      <x:c r="F194" s="103"/>
      <x:c r="G194" s="103"/>
      <x:c r="H194" s="103"/>
      <x:c r="I194" s="103"/>
      <x:c r="J194" s="103"/>
    </x:row>
    <x:row r="195">
      <x:c r="A195" s="63"/>
      <x:c r="F195" s="103"/>
      <x:c r="G195" s="103"/>
      <x:c r="H195" s="103"/>
      <x:c r="I195" s="103"/>
      <x:c r="J195" s="103"/>
    </x:row>
    <x:row r="196">
      <x:c r="A196" s="63"/>
      <x:c r="F196" s="103"/>
      <x:c r="G196" s="103"/>
      <x:c r="H196" s="103"/>
      <x:c r="I196" s="103"/>
      <x:c r="J196" s="103"/>
    </x:row>
    <x:row r="197">
      <x:c r="A197" s="63"/>
      <x:c r="F197" s="103"/>
      <x:c r="G197" s="103"/>
      <x:c r="H197" s="103"/>
      <x:c r="I197" s="103"/>
      <x:c r="J197" s="103"/>
    </x:row>
    <x:row r="198">
      <x:c r="A198" s="63"/>
      <x:c r="F198" s="103"/>
      <x:c r="G198" s="103"/>
      <x:c r="H198" s="103"/>
      <x:c r="I198" s="103"/>
      <x:c r="J198" s="103"/>
    </x:row>
    <x:row r="199">
      <x:c r="A199" s="63"/>
      <x:c r="F199" s="103"/>
      <x:c r="G199" s="103"/>
      <x:c r="H199" s="103"/>
      <x:c r="I199" s="103"/>
      <x:c r="J199" s="103"/>
    </x:row>
    <x:row r="200">
      <x:c r="A200" s="63"/>
      <x:c r="F200" s="103"/>
      <x:c r="G200" s="103"/>
      <x:c r="H200" s="103"/>
      <x:c r="I200" s="103"/>
      <x:c r="J200" s="10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E8B6D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1299991607666" hidden="0" customWidth="1"/>
    <x:col min="2" max="2" width="13.75" hidden="0" customWidth="1"/>
    <x:col min="3" max="3" width="13.75" hidden="0" customWidth="1"/>
    <x:col min="4" max="4" width="13.75" hidden="0" customWidth="1"/>
    <x:col min="5" max="5" width="37.5" hidden="0" customWidth="1"/>
  </x:cols>
  <x:sheetData>
    <x:row r="1" ht="25.5" customHeight="1">
      <x:c r="A1" s="62" t="str">
        <x:v>Fecha</x:v>
      </x:c>
      <x:c r="B1" s="62" t="str">
        <x:v>Origen</x:v>
      </x:c>
      <x:c r="C1" s="62" t="str">
        <x:v>Estado</x:v>
      </x:c>
      <x:c r="D1" s="62" t="str">
        <x:v>Filas</x:v>
      </x:c>
      <x:c r="E1" s="62" t="str">
        <x:v>Nota</x:v>
      </x:c>
    </x:row>
    <x:row r="2">
      <x:c r="A2" s="97"/>
      <x:c r="B2" s="96"/>
      <x:c r="C2" s="96"/>
      <x:c r="D2" s="96"/>
      <x:c r="E2" s="96"/>
    </x:row>
    <x:row r="3">
      <x:c r="A3" s="97"/>
      <x:c r="B3" s="96"/>
      <x:c r="C3" s="96"/>
      <x:c r="D3" s="96"/>
      <x:c r="E3" s="96"/>
    </x:row>
    <x:row r="4">
      <x:c r="A4" s="97"/>
      <x:c r="B4" s="96"/>
      <x:c r="C4" s="96"/>
      <x:c r="D4" s="96"/>
      <x:c r="E4" s="96"/>
    </x:row>
    <x:row r="5">
      <x:c r="A5" s="97"/>
      <x:c r="B5" s="96"/>
      <x:c r="C5" s="96"/>
      <x:c r="D5" s="96"/>
      <x:c r="E5" s="96"/>
    </x:row>
    <x:row r="6">
      <x:c r="A6" s="97"/>
      <x:c r="B6" s="96"/>
      <x:c r="C6" s="96"/>
      <x:c r="D6" s="96"/>
      <x:c r="E6" s="96"/>
    </x:row>
    <x:row r="7">
      <x:c r="A7" s="97"/>
      <x:c r="B7" s="96"/>
      <x:c r="C7" s="96"/>
      <x:c r="D7" s="96"/>
      <x:c r="E7" s="96"/>
    </x:row>
    <x:row r="8">
      <x:c r="A8" s="97"/>
      <x:c r="B8" s="96"/>
      <x:c r="C8" s="96"/>
      <x:c r="D8" s="96"/>
      <x:c r="E8" s="96"/>
    </x:row>
    <x:row r="9">
      <x:c r="A9" s="97"/>
      <x:c r="B9" s="96"/>
      <x:c r="C9" s="96"/>
      <x:c r="D9" s="96"/>
      <x:c r="E9" s="96"/>
    </x:row>
    <x:row r="10">
      <x:c r="A10" s="97"/>
      <x:c r="B10" s="96"/>
      <x:c r="C10" s="96"/>
      <x:c r="D10" s="96"/>
      <x:c r="E10" s="96"/>
    </x:row>
    <x:row r="11">
      <x:c r="A11" s="97"/>
      <x:c r="B11" s="96"/>
      <x:c r="C11" s="96"/>
      <x:c r="D11" s="96"/>
      <x:c r="E11" s="96"/>
    </x:row>
    <x:row r="12">
      <x:c r="A12" s="97"/>
      <x:c r="B12" s="96"/>
      <x:c r="C12" s="96"/>
      <x:c r="D12" s="96"/>
      <x:c r="E12" s="96"/>
    </x:row>
    <x:row r="13">
      <x:c r="A13" s="97"/>
      <x:c r="B13" s="96"/>
      <x:c r="C13" s="96"/>
      <x:c r="D13" s="96"/>
      <x:c r="E13" s="96"/>
    </x:row>
    <x:row r="14">
      <x:c r="A14" s="97"/>
      <x:c r="B14" s="96"/>
      <x:c r="C14" s="96"/>
      <x:c r="D14" s="96"/>
      <x:c r="E14" s="96"/>
    </x:row>
    <x:row r="15">
      <x:c r="A15" s="97"/>
      <x:c r="B15" s="96"/>
      <x:c r="C15" s="96"/>
      <x:c r="D15" s="96"/>
      <x:c r="E15" s="96"/>
    </x:row>
    <x:row r="16">
      <x:c r="A16" s="97"/>
      <x:c r="B16" s="96"/>
      <x:c r="C16" s="96"/>
      <x:c r="D16" s="96"/>
      <x:c r="E16" s="96"/>
    </x:row>
    <x:row r="17">
      <x:c r="A17" s="97"/>
      <x:c r="B17" s="96"/>
      <x:c r="C17" s="96"/>
      <x:c r="D17" s="96"/>
      <x:c r="E17" s="96"/>
    </x:row>
    <x:row r="18">
      <x:c r="A18" s="97"/>
      <x:c r="B18" s="96"/>
      <x:c r="C18" s="96"/>
      <x:c r="D18" s="96"/>
      <x:c r="E18" s="96"/>
    </x:row>
    <x:row r="19">
      <x:c r="A19" s="97"/>
      <x:c r="B19" s="96"/>
      <x:c r="C19" s="96"/>
      <x:c r="D19" s="96"/>
      <x:c r="E19" s="96"/>
    </x:row>
    <x:row r="20">
      <x:c r="A20" s="97"/>
      <x:c r="B20" s="96"/>
      <x:c r="C20" s="96"/>
      <x:c r="D20" s="96"/>
      <x:c r="E20" s="96"/>
    </x:row>
    <x:row r="21">
      <x:c r="A21" s="97"/>
      <x:c r="B21" s="96"/>
      <x:c r="C21" s="96"/>
      <x:c r="D21" s="96"/>
      <x:c r="E21" s="96"/>
    </x:row>
    <x:row r="22">
      <x:c r="A22" s="97"/>
      <x:c r="B22" s="96"/>
      <x:c r="C22" s="96"/>
      <x:c r="D22" s="96"/>
      <x:c r="E22" s="96"/>
    </x:row>
    <x:row r="23">
      <x:c r="A23" s="97"/>
      <x:c r="B23" s="96"/>
      <x:c r="C23" s="96"/>
      <x:c r="D23" s="96"/>
      <x:c r="E23" s="96"/>
    </x:row>
    <x:row r="24">
      <x:c r="A24" s="97"/>
      <x:c r="B24" s="96"/>
      <x:c r="C24" s="96"/>
      <x:c r="D24" s="96"/>
      <x:c r="E24" s="96"/>
    </x:row>
    <x:row r="25">
      <x:c r="A25" s="97"/>
      <x:c r="B25" s="96"/>
      <x:c r="C25" s="96"/>
      <x:c r="D25" s="96"/>
      <x:c r="E25" s="96"/>
    </x:row>
    <x:row r="26">
      <x:c r="A26" s="98"/>
    </x:row>
    <x:row r="27">
      <x:c r="A27" s="98"/>
    </x:row>
    <x:row r="28">
      <x:c r="A28" s="98"/>
    </x:row>
    <x:row r="29">
      <x:c r="A29" s="98"/>
    </x:row>
    <x:row r="30">
      <x:c r="A30" s="98"/>
    </x:row>
    <x:row r="31">
      <x:c r="A31" s="98"/>
    </x:row>
    <x:row r="32">
      <x:c r="A32" s="98"/>
    </x:row>
    <x:row r="33">
      <x:c r="A33" s="98"/>
    </x:row>
    <x:row r="34">
      <x:c r="A34" s="98"/>
    </x:row>
    <x:row r="35">
      <x:c r="A35" s="98"/>
    </x:row>
    <x:row r="36">
      <x:c r="A36" s="98"/>
    </x:row>
    <x:row r="37">
      <x:c r="A37" s="98"/>
    </x:row>
    <x:row r="38">
      <x:c r="A38" s="98"/>
    </x:row>
    <x:row r="39">
      <x:c r="A39" s="98"/>
    </x:row>
    <x:row r="40">
      <x:c r="A40" s="98"/>
    </x:row>
    <x:row r="41">
      <x:c r="A41" s="98"/>
    </x:row>
    <x:row r="42">
      <x:c r="A42" s="98"/>
    </x:row>
    <x:row r="43">
      <x:c r="A43" s="98"/>
    </x:row>
    <x:row r="44">
      <x:c r="A44" s="98"/>
    </x:row>
    <x:row r="45">
      <x:c r="A45" s="98"/>
    </x:row>
    <x:row r="46">
      <x:c r="A46" s="98"/>
    </x:row>
    <x:row r="47">
      <x:c r="A47" s="98"/>
    </x:row>
    <x:row r="48">
      <x:c r="A48" s="98"/>
    </x:row>
    <x:row r="49">
      <x:c r="A49" s="98"/>
    </x:row>
    <x:row r="50">
      <x:c r="A50" s="98"/>
    </x:row>
    <x:row r="51">
      <x:c r="A51" s="98"/>
    </x:row>
    <x:row r="52">
      <x:c r="A52" s="98"/>
    </x:row>
    <x:row r="53">
      <x:c r="A53" s="98"/>
    </x:row>
    <x:row r="54">
      <x:c r="A54" s="98"/>
    </x:row>
    <x:row r="55">
      <x:c r="A55" s="98"/>
    </x:row>
    <x:row r="56">
      <x:c r="A56" s="98"/>
    </x:row>
    <x:row r="57">
      <x:c r="A57" s="98"/>
    </x:row>
    <x:row r="58">
      <x:c r="A58" s="98"/>
    </x:row>
    <x:row r="59">
      <x:c r="A59" s="98"/>
    </x:row>
    <x:row r="60">
      <x:c r="A60" s="98"/>
    </x:row>
    <x:row r="61">
      <x:c r="A61" s="98"/>
    </x:row>
    <x:row r="62">
      <x:c r="A62" s="98"/>
    </x:row>
    <x:row r="63">
      <x:c r="A63" s="98"/>
    </x:row>
    <x:row r="64">
      <x:c r="A64" s="98"/>
    </x:row>
    <x:row r="65">
      <x:c r="A65" s="98"/>
    </x:row>
    <x:row r="66">
      <x:c r="A66" s="98"/>
    </x:row>
    <x:row r="67">
      <x:c r="A67" s="98"/>
    </x:row>
    <x:row r="68">
      <x:c r="A68" s="98"/>
    </x:row>
    <x:row r="69">
      <x:c r="A69" s="98"/>
    </x:row>
    <x:row r="70">
      <x:c r="A70" s="98"/>
    </x:row>
    <x:row r="71">
      <x:c r="A71" s="98"/>
    </x:row>
    <x:row r="72">
      <x:c r="A72" s="98"/>
    </x:row>
    <x:row r="73">
      <x:c r="A73" s="98"/>
    </x:row>
    <x:row r="74">
      <x:c r="A74" s="98"/>
    </x:row>
    <x:row r="75">
      <x:c r="A75" s="98"/>
    </x:row>
    <x:row r="76">
      <x:c r="A76" s="98"/>
    </x:row>
    <x:row r="77">
      <x:c r="A77" s="98"/>
    </x:row>
    <x:row r="78">
      <x:c r="A78" s="98"/>
    </x:row>
    <x:row r="79">
      <x:c r="A79" s="98"/>
    </x:row>
    <x:row r="80">
      <x:c r="A80" s="98"/>
    </x:row>
    <x:row r="81">
      <x:c r="A81" s="98"/>
    </x:row>
    <x:row r="82">
      <x:c r="A82" s="98"/>
    </x:row>
    <x:row r="83">
      <x:c r="A83" s="98"/>
    </x:row>
    <x:row r="84">
      <x:c r="A84" s="98"/>
    </x:row>
    <x:row r="85">
      <x:c r="A85" s="98"/>
    </x:row>
    <x:row r="86">
      <x:c r="A86" s="98"/>
    </x:row>
    <x:row r="87">
      <x:c r="A87" s="98"/>
    </x:row>
    <x:row r="88">
      <x:c r="A88" s="98"/>
    </x:row>
    <x:row r="89">
      <x:c r="A89" s="98"/>
    </x:row>
    <x:row r="90">
      <x:c r="A90" s="98"/>
    </x:row>
    <x:row r="91">
      <x:c r="A91" s="98"/>
    </x:row>
    <x:row r="92">
      <x:c r="A92" s="98"/>
    </x:row>
    <x:row r="93">
      <x:c r="A93" s="98"/>
    </x:row>
    <x:row r="94">
      <x:c r="A94" s="98"/>
    </x:row>
    <x:row r="95">
      <x:c r="A95" s="98"/>
    </x:row>
    <x:row r="96">
      <x:c r="A96" s="98"/>
    </x:row>
    <x:row r="97">
      <x:c r="A97" s="98"/>
    </x:row>
    <x:row r="98">
      <x:c r="A98" s="98"/>
    </x:row>
    <x:row r="99">
      <x:c r="A99" s="98"/>
    </x:row>
    <x:row r="100">
      <x:c r="A100" s="98"/>
    </x:row>
    <x:row r="101">
      <x:c r="A101" s="98"/>
    </x:row>
  </x:sheetData>
  <x:pageMargins left="0.7" right="0.7" top="0.75" bottom="0.75" header="0.3" footer="0.3"/>
</x:worksheet>
</file>